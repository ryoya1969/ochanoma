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sunetasan\Downloads\"/>
    </mc:Choice>
  </mc:AlternateContent>
  <xr:revisionPtr revIDLastSave="0" documentId="8_{57C8F4C5-8640-4A9D-A0E2-FC0832D9BEC9}" xr6:coauthVersionLast="47" xr6:coauthVersionMax="47" xr10:uidLastSave="{00000000-0000-0000-0000-000000000000}"/>
  <bookViews>
    <workbookView xWindow="380" yWindow="380" windowWidth="17700" windowHeight="10080" xr2:uid="{00000000-000D-0000-FFFF-FFFF00000000}"/>
  </bookViews>
  <sheets>
    <sheet name="sheet1" sheetId="1" r:id="rId1"/>
    <sheet name="sheet2" sheetId="2" r:id="rId2"/>
    <sheet name="1-A" sheetId="3" r:id="rId3"/>
    <sheet name="1-C" sheetId="4" r:id="rId4"/>
    <sheet name="1-D" sheetId="5" r:id="rId5"/>
  </sheets>
  <definedNames>
    <definedName name="Z_EAC9EC35_8666_44EE_A77F_9092A1310B79_.wvu.FilterData" localSheetId="1" hidden="1">sheet2!$C$1:$G$126</definedName>
  </definedNames>
  <calcPr calcId="191029"/>
  <customWorkbookViews>
    <customWorkbookView name="フィルタ 1" guid="{EAC9EC35-8666-44EE-A77F-9092A1310B7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6" i="2" l="1"/>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I30" i="1" a="1"/>
  <c r="I30" i="1"/>
  <c r="H30" i="1" a="1"/>
  <c r="H30" i="1" s="1"/>
  <c r="G30" i="1" a="1"/>
  <c r="G30" i="1" s="1"/>
  <c r="F30" i="1" a="1"/>
  <c r="F30" i="1" s="1"/>
  <c r="E30" i="1" a="1"/>
  <c r="E30" i="1"/>
  <c r="D30" i="1" a="1"/>
  <c r="D30" i="1" s="1"/>
  <c r="C30" i="1" a="1"/>
  <c r="C30" i="1" s="1"/>
  <c r="I29" i="1" a="1"/>
  <c r="I29" i="1" s="1"/>
  <c r="H29" i="1" a="1"/>
  <c r="H29" i="1"/>
  <c r="G29" i="1" a="1"/>
  <c r="G29" i="1" s="1"/>
  <c r="F29" i="1" a="1"/>
  <c r="F29" i="1" s="1"/>
  <c r="E29" i="1" a="1"/>
  <c r="E29" i="1" s="1"/>
  <c r="D29" i="1" a="1"/>
  <c r="D29" i="1"/>
  <c r="C29" i="1" a="1"/>
  <c r="C29" i="1" s="1"/>
  <c r="I28" i="1" a="1"/>
  <c r="I28" i="1" s="1"/>
  <c r="H28" i="1" a="1"/>
  <c r="H28" i="1" s="1"/>
  <c r="G28" i="1" a="1"/>
  <c r="G28" i="1"/>
  <c r="F28" i="1" a="1"/>
  <c r="F28" i="1" s="1"/>
  <c r="E28" i="1" a="1"/>
  <c r="E28" i="1" s="1"/>
  <c r="D28" i="1" a="1"/>
  <c r="D28" i="1" s="1"/>
  <c r="C28" i="1" a="1"/>
  <c r="C28" i="1"/>
  <c r="I27" i="1" a="1"/>
  <c r="I27" i="1" s="1"/>
  <c r="H27" i="1" a="1"/>
  <c r="H27" i="1" s="1"/>
  <c r="G27" i="1" a="1"/>
  <c r="G27" i="1" s="1"/>
  <c r="F27" i="1" a="1"/>
  <c r="F27" i="1"/>
  <c r="E27" i="1" a="1"/>
  <c r="E27" i="1" s="1"/>
  <c r="D27" i="1" a="1"/>
  <c r="D27" i="1" s="1"/>
  <c r="C27" i="1" a="1"/>
  <c r="C27" i="1" s="1"/>
  <c r="I26" i="1" a="1"/>
  <c r="I26" i="1"/>
  <c r="H26" i="1" a="1"/>
  <c r="H26" i="1" s="1"/>
  <c r="G26" i="1" a="1"/>
  <c r="G26" i="1" s="1"/>
  <c r="F26" i="1" a="1"/>
  <c r="F26" i="1" s="1"/>
  <c r="E26" i="1" a="1"/>
  <c r="E26" i="1"/>
  <c r="D26" i="1" a="1"/>
  <c r="D26" i="1" s="1"/>
  <c r="C26" i="1" a="1"/>
  <c r="C26" i="1" s="1"/>
  <c r="I25" i="1" a="1"/>
  <c r="I25" i="1" s="1"/>
  <c r="H25" i="1" a="1"/>
  <c r="H25" i="1"/>
  <c r="G25" i="1" a="1"/>
  <c r="G25" i="1" s="1"/>
  <c r="F25" i="1" a="1"/>
  <c r="F25" i="1" s="1"/>
  <c r="E25" i="1" a="1"/>
  <c r="E25" i="1" s="1"/>
  <c r="D25" i="1" a="1"/>
  <c r="D25" i="1"/>
  <c r="C25" i="1" a="1"/>
  <c r="C25" i="1" s="1"/>
  <c r="I24" i="1" a="1"/>
  <c r="I24" i="1" s="1"/>
  <c r="H24" i="1" a="1"/>
  <c r="H24" i="1" s="1"/>
  <c r="G24" i="1" a="1"/>
  <c r="G24" i="1"/>
  <c r="F24" i="1" a="1"/>
  <c r="F24" i="1" s="1"/>
  <c r="E24" i="1" a="1"/>
  <c r="E24" i="1" s="1"/>
  <c r="D24" i="1" a="1"/>
  <c r="D24" i="1" s="1"/>
  <c r="C24" i="1" a="1"/>
  <c r="C24" i="1"/>
  <c r="I23" i="1" a="1"/>
  <c r="I23" i="1" s="1"/>
  <c r="H23" i="1" a="1"/>
  <c r="H23" i="1" s="1"/>
  <c r="G23" i="1" a="1"/>
  <c r="G23" i="1" s="1"/>
  <c r="F23" i="1" a="1"/>
  <c r="F23" i="1"/>
  <c r="E23" i="1" a="1"/>
  <c r="E23" i="1" s="1"/>
  <c r="D23" i="1" a="1"/>
  <c r="D23" i="1" s="1"/>
  <c r="C23" i="1" a="1"/>
  <c r="C23" i="1" s="1"/>
  <c r="I22" i="1" a="1"/>
  <c r="I22" i="1"/>
  <c r="H22" i="1" a="1"/>
  <c r="H22" i="1" s="1"/>
  <c r="G22" i="1" a="1"/>
  <c r="G22" i="1" s="1"/>
  <c r="F22" i="1" a="1"/>
  <c r="F22" i="1" s="1"/>
  <c r="E22" i="1" a="1"/>
  <c r="E22" i="1"/>
  <c r="D22" i="1" a="1"/>
  <c r="D22" i="1" s="1"/>
  <c r="C22" i="1" a="1"/>
  <c r="C22" i="1" s="1"/>
  <c r="I21" i="1" a="1"/>
  <c r="I21" i="1" s="1"/>
  <c r="H21" i="1" a="1"/>
  <c r="H21" i="1"/>
  <c r="G21" i="1" a="1"/>
  <c r="G21" i="1" s="1"/>
  <c r="F21" i="1" a="1"/>
  <c r="F21" i="1" s="1"/>
  <c r="E21" i="1" a="1"/>
  <c r="E21" i="1" s="1"/>
  <c r="D21" i="1" a="1"/>
  <c r="D21" i="1"/>
  <c r="C21" i="1" a="1"/>
  <c r="C21" i="1" s="1"/>
  <c r="I20" i="1" a="1"/>
  <c r="I20" i="1" s="1"/>
  <c r="H20" i="1" a="1"/>
  <c r="H20" i="1" s="1"/>
  <c r="G20" i="1" a="1"/>
  <c r="G20" i="1"/>
  <c r="F20" i="1" a="1"/>
  <c r="F20" i="1" s="1"/>
  <c r="E20" i="1" a="1"/>
  <c r="E20" i="1" s="1"/>
  <c r="D20" i="1" a="1"/>
  <c r="D20" i="1" s="1"/>
  <c r="C20" i="1" a="1"/>
  <c r="C20" i="1"/>
  <c r="I19" i="1" a="1"/>
  <c r="I19" i="1" s="1"/>
  <c r="H19" i="1" a="1"/>
  <c r="H19" i="1" s="1"/>
  <c r="G19" i="1" a="1"/>
  <c r="G19" i="1" s="1"/>
  <c r="F19" i="1" a="1"/>
  <c r="F19" i="1"/>
  <c r="E19" i="1" a="1"/>
  <c r="E19" i="1" s="1"/>
  <c r="D19" i="1" a="1"/>
  <c r="D19" i="1" s="1"/>
  <c r="C19" i="1" a="1"/>
  <c r="C19" i="1" s="1"/>
  <c r="I18" i="1" a="1"/>
  <c r="I18" i="1"/>
  <c r="H18" i="1" a="1"/>
  <c r="H18" i="1" s="1"/>
  <c r="G18" i="1" a="1"/>
  <c r="G18" i="1" s="1"/>
  <c r="F18" i="1" a="1"/>
  <c r="F18" i="1" s="1"/>
  <c r="E18" i="1" a="1"/>
  <c r="E18" i="1"/>
  <c r="D18" i="1" a="1"/>
  <c r="D18" i="1" s="1"/>
  <c r="C18" i="1" a="1"/>
  <c r="C18" i="1" s="1"/>
  <c r="I17" i="1" a="1"/>
  <c r="I17" i="1" s="1"/>
  <c r="H17" i="1" a="1"/>
  <c r="H17" i="1"/>
  <c r="G17" i="1" a="1"/>
  <c r="G17" i="1" s="1"/>
  <c r="F17" i="1" a="1"/>
  <c r="F17" i="1" s="1"/>
  <c r="E17" i="1" a="1"/>
  <c r="E17" i="1" s="1"/>
  <c r="D17" i="1" a="1"/>
  <c r="D17" i="1"/>
  <c r="C17" i="1" a="1"/>
  <c r="C17" i="1" s="1"/>
  <c r="I16" i="1" a="1"/>
  <c r="I16" i="1" s="1"/>
  <c r="H16" i="1" a="1"/>
  <c r="H16" i="1" s="1"/>
  <c r="G16" i="1" a="1"/>
  <c r="G16" i="1"/>
  <c r="F16" i="1" a="1"/>
  <c r="F16" i="1" s="1"/>
  <c r="E16" i="1" a="1"/>
  <c r="E16" i="1" s="1"/>
  <c r="D16" i="1" a="1"/>
  <c r="D16" i="1" s="1"/>
  <c r="C16" i="1" a="1"/>
  <c r="C16" i="1"/>
  <c r="I15" i="1" a="1"/>
  <c r="I15" i="1" s="1"/>
  <c r="H15" i="1" a="1"/>
  <c r="H15" i="1" s="1"/>
  <c r="G15" i="1" a="1"/>
  <c r="G15" i="1" s="1"/>
  <c r="F15" i="1" a="1"/>
  <c r="F15" i="1"/>
  <c r="E15" i="1" a="1"/>
  <c r="E15" i="1" s="1"/>
  <c r="D15" i="1" a="1"/>
  <c r="D15" i="1" s="1"/>
  <c r="C15" i="1" a="1"/>
  <c r="C15" i="1" s="1"/>
  <c r="I14" i="1" a="1"/>
  <c r="I14" i="1"/>
  <c r="H14" i="1" a="1"/>
  <c r="H14" i="1" s="1"/>
  <c r="G14" i="1" a="1"/>
  <c r="G14" i="1" s="1"/>
  <c r="F14" i="1" a="1"/>
  <c r="F14" i="1" s="1"/>
  <c r="E14" i="1" a="1"/>
  <c r="E14" i="1"/>
  <c r="D14" i="1" a="1"/>
  <c r="D14" i="1" s="1"/>
  <c r="C14" i="1" a="1"/>
  <c r="C14" i="1" s="1"/>
  <c r="I13" i="1" a="1"/>
  <c r="I13" i="1" s="1"/>
  <c r="H13" i="1" a="1"/>
  <c r="H13" i="1"/>
  <c r="G13" i="1" a="1"/>
  <c r="G13" i="1" s="1"/>
  <c r="F13" i="1" a="1"/>
  <c r="F13" i="1" s="1"/>
  <c r="E13" i="1" a="1"/>
  <c r="E13" i="1" s="1"/>
  <c r="D13" i="1" a="1"/>
  <c r="D13" i="1"/>
  <c r="C13" i="1" a="1"/>
  <c r="C13" i="1" s="1"/>
  <c r="I12" i="1" a="1"/>
  <c r="I12" i="1" s="1"/>
  <c r="H12" i="1" a="1"/>
  <c r="H12" i="1" s="1"/>
  <c r="G12" i="1" a="1"/>
  <c r="G12" i="1"/>
  <c r="F12" i="1" a="1"/>
  <c r="F12" i="1" s="1"/>
  <c r="E12" i="1" a="1"/>
  <c r="E12" i="1" s="1"/>
  <c r="D12" i="1" a="1"/>
  <c r="D12" i="1" s="1"/>
  <c r="C12" i="1" a="1"/>
  <c r="C12" i="1"/>
  <c r="I11" i="1" a="1"/>
  <c r="I11" i="1" s="1"/>
  <c r="H11" i="1" a="1"/>
  <c r="H11" i="1" s="1"/>
  <c r="G11" i="1" a="1"/>
  <c r="G11" i="1" s="1"/>
  <c r="F11" i="1" a="1"/>
  <c r="F11" i="1"/>
  <c r="E11" i="1" a="1"/>
  <c r="E11" i="1" s="1"/>
  <c r="D11" i="1" a="1"/>
  <c r="D11" i="1" s="1"/>
  <c r="C11" i="1" a="1"/>
  <c r="C11" i="1" s="1"/>
  <c r="I10" i="1" a="1"/>
  <c r="I10" i="1"/>
  <c r="H10" i="1" a="1"/>
  <c r="H10" i="1" s="1"/>
  <c r="G10" i="1" a="1"/>
  <c r="G10" i="1" s="1"/>
  <c r="F10" i="1" a="1"/>
  <c r="F10" i="1" s="1"/>
  <c r="E10" i="1" a="1"/>
  <c r="E10" i="1"/>
  <c r="D10" i="1" a="1"/>
  <c r="D10" i="1" s="1"/>
  <c r="C10" i="1" a="1"/>
  <c r="C10" i="1" s="1"/>
  <c r="I9" i="1" a="1"/>
  <c r="I9" i="1" s="1"/>
  <c r="H9" i="1" a="1"/>
  <c r="H9" i="1"/>
  <c r="G9" i="1" a="1"/>
  <c r="G9" i="1" s="1"/>
  <c r="F9" i="1" a="1"/>
  <c r="F9" i="1" s="1"/>
  <c r="E9" i="1" a="1"/>
  <c r="E9" i="1" s="1"/>
  <c r="D9" i="1" a="1"/>
  <c r="D9" i="1"/>
  <c r="C9" i="1" a="1"/>
  <c r="C9" i="1" s="1"/>
  <c r="I8" i="1" a="1"/>
  <c r="I8" i="1" s="1"/>
  <c r="H8" i="1" a="1"/>
  <c r="H8" i="1" s="1"/>
  <c r="G8" i="1" a="1"/>
  <c r="G8" i="1"/>
  <c r="F8" i="1" a="1"/>
  <c r="F8" i="1" s="1"/>
  <c r="E8" i="1" a="1"/>
  <c r="E8" i="1" s="1"/>
  <c r="D8" i="1" a="1"/>
  <c r="D8" i="1" s="1"/>
  <c r="C8" i="1" a="1"/>
  <c r="C8" i="1"/>
  <c r="I7" i="1" a="1"/>
  <c r="I7" i="1" s="1"/>
  <c r="H7" i="1" a="1"/>
  <c r="H7" i="1" s="1"/>
  <c r="G7" i="1" a="1"/>
  <c r="G7" i="1" s="1"/>
  <c r="F7" i="1" a="1"/>
  <c r="F7" i="1"/>
  <c r="E7" i="1" a="1"/>
  <c r="E7" i="1" s="1"/>
  <c r="D7" i="1" a="1"/>
  <c r="D7" i="1" s="1"/>
  <c r="C7" i="1" a="1"/>
  <c r="C7" i="1" s="1"/>
  <c r="I6" i="1" a="1"/>
  <c r="I6" i="1"/>
  <c r="H6" i="1" a="1"/>
  <c r="H6" i="1" s="1"/>
  <c r="G6" i="1" a="1"/>
  <c r="G6" i="1" s="1"/>
  <c r="F6" i="1" a="1"/>
  <c r="F6" i="1" s="1"/>
  <c r="E6" i="1" a="1"/>
  <c r="E6" i="1"/>
  <c r="D6" i="1" a="1"/>
  <c r="D6" i="1" s="1"/>
  <c r="C6" i="1" a="1"/>
  <c r="C6" i="1" s="1"/>
  <c r="I5" i="1" a="1"/>
  <c r="I5" i="1" s="1"/>
  <c r="H5" i="1" a="1"/>
  <c r="H5" i="1"/>
  <c r="G5" i="1" a="1"/>
  <c r="G5" i="1" s="1"/>
  <c r="F5" i="1" a="1"/>
  <c r="F5" i="1" s="1"/>
  <c r="E5" i="1" a="1"/>
  <c r="E5" i="1" s="1"/>
  <c r="D5" i="1" a="1"/>
  <c r="D5" i="1"/>
  <c r="C5" i="1" a="1"/>
  <c r="C5" i="1" s="1"/>
  <c r="I4" i="1" a="1"/>
  <c r="I4" i="1" s="1"/>
  <c r="H4" i="1" a="1"/>
  <c r="H4" i="1" s="1"/>
  <c r="G4" i="1" a="1"/>
  <c r="G4" i="1"/>
  <c r="F4" i="1" a="1"/>
  <c r="F4" i="1" s="1"/>
  <c r="E4" i="1" a="1"/>
  <c r="E4" i="1" s="1"/>
  <c r="D4" i="1" a="1"/>
  <c r="D4" i="1" s="1"/>
  <c r="C4" i="1" a="1"/>
  <c r="C4" i="1"/>
</calcChain>
</file>

<file path=xl/sharedStrings.xml><?xml version="1.0" encoding="utf-8"?>
<sst xmlns="http://schemas.openxmlformats.org/spreadsheetml/2006/main" count="1003" uniqueCount="558">
  <si>
    <t>検索</t>
  </si>
  <si>
    <t>書籍名など</t>
  </si>
  <si>
    <t>棚</t>
  </si>
  <si>
    <t>段</t>
  </si>
  <si>
    <t>書籍名</t>
  </si>
  <si>
    <t>著者名</t>
  </si>
  <si>
    <t>出版社</t>
  </si>
  <si>
    <t>年</t>
  </si>
  <si>
    <t>備考</t>
  </si>
  <si>
    <t>作業列</t>
  </si>
  <si>
    <t>B</t>
  </si>
  <si>
    <t>智光曼荼羅</t>
  </si>
  <si>
    <t>元興寺仏教民族資料刊行会</t>
  </si>
  <si>
    <t>学術書出版会</t>
  </si>
  <si>
    <t>仏教図像聚成</t>
  </si>
  <si>
    <t>京都市立芸術大学芸術資料館</t>
  </si>
  <si>
    <t>法蔵館</t>
  </si>
  <si>
    <t>日本の名画1 近世絵画Ⅰ</t>
  </si>
  <si>
    <t>ほるぷ出版</t>
  </si>
  <si>
    <t>古面</t>
  </si>
  <si>
    <t>京都国立博物館</t>
  </si>
  <si>
    <t>岩波書店</t>
  </si>
  <si>
    <t>慈恩大師御影聚英</t>
  </si>
  <si>
    <t>興福寺・薬師寺</t>
  </si>
  <si>
    <t>古代小金銅仏</t>
  </si>
  <si>
    <t>久野健</t>
  </si>
  <si>
    <t>小学館</t>
  </si>
  <si>
    <t>日本仏教美術の源流Ⅰ 彫刻・考古篇</t>
  </si>
  <si>
    <t>奈良国立博物館</t>
  </si>
  <si>
    <t>同朋舎出版</t>
  </si>
  <si>
    <t>日本仏教美術の源流Ⅱ 絵画・工芸・書蹟篇</t>
  </si>
  <si>
    <t>鏡像</t>
  </si>
  <si>
    <t>東京国立博物館</t>
  </si>
  <si>
    <t>至文堂</t>
  </si>
  <si>
    <t>密教法具</t>
  </si>
  <si>
    <t>講談社</t>
  </si>
  <si>
    <t>仏舎利の荘厳</t>
  </si>
  <si>
    <t>経塚遺宝</t>
  </si>
  <si>
    <t>東京美術</t>
  </si>
  <si>
    <t>金銅仏 中国・朝鮮・日本</t>
  </si>
  <si>
    <t>大塚巧芸社</t>
  </si>
  <si>
    <t>小金銅仏</t>
  </si>
  <si>
    <t>松原三郎・田辺三郎助</t>
  </si>
  <si>
    <t>唐招提寺古経選</t>
  </si>
  <si>
    <t>栗本和夫</t>
  </si>
  <si>
    <t>中央公論美術出版</t>
  </si>
  <si>
    <t>那智経塚遺宝</t>
  </si>
  <si>
    <t>藤原美術聚英</t>
  </si>
  <si>
    <t>帝室博物館</t>
  </si>
  <si>
    <t>便利堂</t>
  </si>
  <si>
    <t>極楽絵</t>
  </si>
  <si>
    <t>真保亨</t>
  </si>
  <si>
    <t>毎日新聞社</t>
  </si>
  <si>
    <t>六道絵</t>
  </si>
  <si>
    <t>仏伝図</t>
  </si>
  <si>
    <t>来迎図の美術</t>
  </si>
  <si>
    <t>中野玄三</t>
  </si>
  <si>
    <t>来迎図の美術 増補版</t>
  </si>
  <si>
    <t>仏教説話の美術</t>
  </si>
  <si>
    <t>思文閣出版</t>
  </si>
  <si>
    <t>地獄絵</t>
  </si>
  <si>
    <t>国宝 六道絵</t>
  </si>
  <si>
    <t>泉武夫・加須屋誠・山本聡美</t>
  </si>
  <si>
    <t>スキャン用バラ</t>
  </si>
  <si>
    <t>病草紙</t>
  </si>
  <si>
    <t>加須屋誠・山本聡美</t>
  </si>
  <si>
    <t>杏雨書屋所蔵 病草紙 模本集成</t>
  </si>
  <si>
    <t>武田科学振興財団</t>
  </si>
  <si>
    <t>国宝 応徳仏涅槃図の研究と保存</t>
  </si>
  <si>
    <t>高野山文化財保存会</t>
  </si>
  <si>
    <t>上・下2巻あり</t>
  </si>
  <si>
    <t>国宝 釈迦金棺出現図 京都国立博物館蔵</t>
  </si>
  <si>
    <t>釈迦金棺出現図</t>
  </si>
  <si>
    <t>田中一松・山口蓬春</t>
  </si>
  <si>
    <t>美術出版社</t>
  </si>
  <si>
    <t>京都国立博物館蔵 興福寺曼荼羅図</t>
  </si>
  <si>
    <t>社寺参詣曼荼羅</t>
  </si>
  <si>
    <t>大阪市立博物館</t>
  </si>
  <si>
    <t>平凡社</t>
  </si>
  <si>
    <t>聖徳太子絵伝</t>
  </si>
  <si>
    <t>聖徳太子尊像聚成 図版編</t>
  </si>
  <si>
    <t>石田茂作</t>
  </si>
  <si>
    <t>聖徳太子尊像聚成</t>
  </si>
  <si>
    <t>王朝の仏画と儀礼</t>
  </si>
  <si>
    <t>聖徳太子信仰の美術</t>
  </si>
  <si>
    <t>大阪市立美術館</t>
  </si>
  <si>
    <t>東方出版</t>
  </si>
  <si>
    <t>Color &amp; Material 日本絵画の色と材料</t>
  </si>
  <si>
    <t>早川泰弘・城野誠治</t>
  </si>
  <si>
    <t>LIVE ART BOOKS</t>
  </si>
  <si>
    <t>Light &amp; Color 絵画表現の深層をさぐる</t>
  </si>
  <si>
    <t>東京文化財研究所</t>
  </si>
  <si>
    <t>妖怪絵巻</t>
  </si>
  <si>
    <t>国宝 十二天画像</t>
  </si>
  <si>
    <t>秘仏金色不動明王画像</t>
  </si>
  <si>
    <t>園城寺</t>
  </si>
  <si>
    <t>朝日新聞社</t>
  </si>
  <si>
    <t>画像 不動明王</t>
  </si>
  <si>
    <t>曼荼羅の研究</t>
  </si>
  <si>
    <t>石田尚豊</t>
  </si>
  <si>
    <t>両界曼荼羅の智慧</t>
  </si>
  <si>
    <t>両界曼荼羅 東寺蔵 国宝「伝真言院両界曼荼羅」の世界</t>
  </si>
  <si>
    <t>石元泰博</t>
  </si>
  <si>
    <t>密教曼荼羅の研究</t>
  </si>
  <si>
    <t>真鍋俊照</t>
  </si>
  <si>
    <t>密教美術大観 第1巻 両界曼荼羅</t>
  </si>
  <si>
    <t>佐和隆研・ 濱田隆</t>
  </si>
  <si>
    <t>密教美術大観 第2巻 如来・観音</t>
  </si>
  <si>
    <t>密教美術大観 第4巻 天・法具・祖師</t>
  </si>
  <si>
    <t>別尊曼荼羅</t>
  </si>
  <si>
    <t>浄土教絵画</t>
  </si>
  <si>
    <t>国宝 平安仏画 ―光学調査報告書―</t>
  </si>
  <si>
    <t>東京国立博物館・東京文化財研究所</t>
  </si>
  <si>
    <t>御室版両部曼荼羅 尊像集</t>
  </si>
  <si>
    <t>佐和隆研</t>
  </si>
  <si>
    <t>高山寺善本図録</t>
  </si>
  <si>
    <t>葉上照澄・高山寺典籍文書綜合調査団</t>
  </si>
  <si>
    <t>東京大学出版会</t>
  </si>
  <si>
    <t>平安時代倭絵の探求 法華経冊子の研究</t>
  </si>
  <si>
    <t>小松茂美</t>
  </si>
  <si>
    <t>国宝 麻布著色吉祥天像</t>
  </si>
  <si>
    <t>奈良国立博物館・東京文化財研究所</t>
  </si>
  <si>
    <t>国宝 絹本著色十一面観音像</t>
  </si>
  <si>
    <t>石山寺の美術 常楽会本尊画像の研究</t>
  </si>
  <si>
    <t>安嶋紀昭</t>
  </si>
  <si>
    <t>法華経の美術</t>
  </si>
  <si>
    <t>倉田文作・田村芳朗</t>
  </si>
  <si>
    <t>佼成出版社</t>
  </si>
  <si>
    <t>法華経 写経と荘厳</t>
  </si>
  <si>
    <t>工芸にみる古典文学意匠</t>
  </si>
  <si>
    <t>紫紅社</t>
  </si>
  <si>
    <t>請来美術</t>
  </si>
  <si>
    <t>諸家愛蔵 日本仏教美術秘宝</t>
  </si>
  <si>
    <t>望月信成</t>
  </si>
  <si>
    <t>三彩社</t>
  </si>
  <si>
    <t>日本の仏像大百科 第1巻 如来</t>
  </si>
  <si>
    <t>田辺三郎助・清水真澄</t>
  </si>
  <si>
    <t>ぎょうせい</t>
  </si>
  <si>
    <t>日本の仏像大百科 第2巻 菩薩</t>
  </si>
  <si>
    <t>田辺三郎助・紺野敏文</t>
  </si>
  <si>
    <t>日本の仏像大百科 第3巻 明王・曼荼羅</t>
  </si>
  <si>
    <t>田辺三郎助・有賀祥隆</t>
  </si>
  <si>
    <t>日本の仏像大百科 第4巻 天</t>
  </si>
  <si>
    <t>田辺三郎助・関口正之</t>
  </si>
  <si>
    <t>日本の仏像大百科 第5巻 習合神・高僧</t>
  </si>
  <si>
    <t>田辺三郎助</t>
  </si>
  <si>
    <t>総覧 不動明王</t>
  </si>
  <si>
    <t>成田山新勝寺・ 種智院大学密教学会</t>
  </si>
  <si>
    <t>近江の祈りと美</t>
  </si>
  <si>
    <t>高梨純次</t>
  </si>
  <si>
    <t>サンライズ出版</t>
  </si>
  <si>
    <t>佛姿写伝・近江 湖北妙音</t>
  </si>
  <si>
    <t>駒澤晃</t>
  </si>
  <si>
    <t>日本教文社</t>
  </si>
  <si>
    <t>鎌倉室町の美術</t>
  </si>
  <si>
    <t>川村勝巳</t>
  </si>
  <si>
    <t>大日本インキ化学工業株式会社</t>
  </si>
  <si>
    <t>金銅仏</t>
  </si>
  <si>
    <t>野間清六</t>
  </si>
  <si>
    <t>竹内書店</t>
  </si>
  <si>
    <t>日本の鉄仏</t>
  </si>
  <si>
    <t>佐藤昭夫・中村由信</t>
  </si>
  <si>
    <t>大和松尾寺の歴史と文化</t>
  </si>
  <si>
    <t>石田茂作監修・松尾寺編</t>
  </si>
  <si>
    <t>松尾寺</t>
  </si>
  <si>
    <t>藤森武写真集 鉈彫 荒彫</t>
  </si>
  <si>
    <t>藤森武</t>
  </si>
  <si>
    <t>玉川大学出版部</t>
  </si>
  <si>
    <t>繍仏</t>
  </si>
  <si>
    <t>角川書店</t>
  </si>
  <si>
    <t>美術に見る釈尊の生涯</t>
  </si>
  <si>
    <t>肥塚隆・田枝幹宏</t>
  </si>
  <si>
    <t>日本の佛教版画 祈りと護りの世界</t>
  </si>
  <si>
    <t>三井淳生</t>
  </si>
  <si>
    <t>岩崎美術社</t>
  </si>
  <si>
    <t>奈良朝写経</t>
  </si>
  <si>
    <t>飛鳥の佛像</t>
  </si>
  <si>
    <t>奈良国立文化財研究所・飛鳥資料館</t>
  </si>
  <si>
    <t>同朋舎</t>
  </si>
  <si>
    <t>豪華[源氏絵]の世界 源氏物語</t>
  </si>
  <si>
    <t>秋山虔・田口榮一</t>
  </si>
  <si>
    <t>学習研究社</t>
  </si>
  <si>
    <t>蒔絵 漆黒と黄金の日本美</t>
  </si>
  <si>
    <t>淡交社</t>
  </si>
  <si>
    <t>中尊寺</t>
  </si>
  <si>
    <t>石田茂作監修・朝日新聞社</t>
  </si>
  <si>
    <t>観音総鑑</t>
  </si>
  <si>
    <t>新人物往来社</t>
  </si>
  <si>
    <t>古絵図 特別展覧会図録</t>
  </si>
  <si>
    <t>伊勢物語絵</t>
  </si>
  <si>
    <t>伊藤敏子</t>
  </si>
  <si>
    <t xml:space="preserve">絵巻物による日本常民生活絵引 </t>
  </si>
  <si>
    <t>澁澤敬三・神奈川大学日本常民文化研究所編</t>
  </si>
  <si>
    <t>全5巻付総索引</t>
  </si>
  <si>
    <t>当麻曼荼羅厨子図譜</t>
  </si>
  <si>
    <t>文化財保護委員会</t>
  </si>
  <si>
    <t>醍醐寺五重塔図譜</t>
  </si>
  <si>
    <t>鳳凰堂図譜 壁画篇</t>
  </si>
  <si>
    <t>鳳凰堂図譜 建築彩色篇</t>
  </si>
  <si>
    <t>運慶の彫刻</t>
  </si>
  <si>
    <t>秘仏十一面観音</t>
  </si>
  <si>
    <t>丸山尚一・藤森武</t>
  </si>
  <si>
    <t>湖国の十一面観音</t>
  </si>
  <si>
    <t>石元泰博撮影・ 佐和隆研・宮本忠雄解説</t>
  </si>
  <si>
    <t>東寺の歴史と美術</t>
  </si>
  <si>
    <t>東寺創建一千二百年記念出版編纂委員会</t>
  </si>
  <si>
    <t>古代朝鮮佛と飛鳥佛</t>
  </si>
  <si>
    <t>東出版</t>
  </si>
  <si>
    <t>研究調査報告 薬師寺西塔跡出土塑像断片</t>
  </si>
  <si>
    <t>奈良国立博物館・奈良国立文化財研究所</t>
  </si>
  <si>
    <t>奈良明新社</t>
  </si>
  <si>
    <t>観音菩薩</t>
  </si>
  <si>
    <t>蘇る大和の佛像</t>
  </si>
  <si>
    <t>長谷川傳次郎著・久野健解説</t>
  </si>
  <si>
    <t>東京経済</t>
  </si>
  <si>
    <t>平安時代の美術</t>
  </si>
  <si>
    <t>京都国立博物館監修</t>
  </si>
  <si>
    <t>特別展図録 平安時代の彫刻</t>
  </si>
  <si>
    <t>上代の彫刻</t>
  </si>
  <si>
    <t>上野直昭</t>
  </si>
  <si>
    <t>土門拳 日本の彫刻1 飛鳥・奈良</t>
  </si>
  <si>
    <t>土門拳</t>
  </si>
  <si>
    <t>土門拳 日本の彫刻2 平安前期</t>
  </si>
  <si>
    <t>土門拳 日本の彫刻2 平安後期・鎌倉</t>
  </si>
  <si>
    <t>京都国立博物館蔵 仏教彫刻</t>
  </si>
  <si>
    <t>釈尊～その前世と生涯の美術 THE LIFE OF BUDDHA AND HIS LEGEND</t>
  </si>
  <si>
    <t>中村元監修</t>
  </si>
  <si>
    <t>NHK出版</t>
  </si>
  <si>
    <t>神道美術 神々の美とその展開</t>
  </si>
  <si>
    <t>特別展図録 鎌倉時代の彫刻</t>
  </si>
  <si>
    <t>院政期の仏像 定朝から運慶へ</t>
  </si>
  <si>
    <t>阿弥陀仏彫像</t>
  </si>
  <si>
    <t>運慶大全</t>
  </si>
  <si>
    <t>山本勉監修</t>
  </si>
  <si>
    <t>日本の写経</t>
  </si>
  <si>
    <t>大山仁快ほか</t>
  </si>
  <si>
    <t>京都書院</t>
  </si>
  <si>
    <t>国宝 高松塚古墳壁画</t>
  </si>
  <si>
    <t>文化庁監修</t>
  </si>
  <si>
    <t>高松塚古墳壁画</t>
  </si>
  <si>
    <t>高松塚古墳総合学術調査会</t>
  </si>
  <si>
    <t>壁画古墳 高松塚 調査中間報告書</t>
  </si>
  <si>
    <t>橿原考古学研究所</t>
  </si>
  <si>
    <t>奈良県教育委員会・奈良県明日香村</t>
  </si>
  <si>
    <t>書籍・図録名</t>
  </si>
  <si>
    <t>出版社・開催館</t>
  </si>
  <si>
    <t>1段目</t>
  </si>
  <si>
    <t>※1~5段目は『日本の美術』が揃っている。別ファイル参照</t>
  </si>
  <si>
    <t>2段目</t>
  </si>
  <si>
    <t>6段目(研究報告書が中心)</t>
  </si>
  <si>
    <t>日本の美術1</t>
  </si>
  <si>
    <t>日本の美術101</t>
  </si>
  <si>
    <t>（過去の発表資料）</t>
  </si>
  <si>
    <t>日本の美術2</t>
  </si>
  <si>
    <t>日本の美術102</t>
  </si>
  <si>
    <t>平泉 中尊寺・毛越寺の全容</t>
  </si>
  <si>
    <t>藤島亥治郎(監修)</t>
  </si>
  <si>
    <t>川嶋印刷株式会社</t>
  </si>
  <si>
    <t>日本の美術3</t>
  </si>
  <si>
    <t>日本の美術103</t>
  </si>
  <si>
    <t>亀田鵬斎碑文並びに序跋訳注集成</t>
  </si>
  <si>
    <t>守屋正彦(責任編集)ほか</t>
  </si>
  <si>
    <t>筑波大学日本美術史研究室</t>
  </si>
  <si>
    <t>日本の美術4</t>
  </si>
  <si>
    <t>日本の美術104</t>
  </si>
  <si>
    <t>中世寺社境内の風景</t>
  </si>
  <si>
    <t>泉万里</t>
  </si>
  <si>
    <t>日本の美術5</t>
  </si>
  <si>
    <t>日本の美術105</t>
  </si>
  <si>
    <t>絹織製作技術</t>
  </si>
  <si>
    <t>日本の美術6</t>
  </si>
  <si>
    <t>日本の美術106</t>
  </si>
  <si>
    <t>文化財修理の最先端</t>
  </si>
  <si>
    <t>日本の美術7</t>
  </si>
  <si>
    <t>日本の美術107</t>
  </si>
  <si>
    <t>京都市立芸術大学芸術資料館所蔵 中国書画録</t>
  </si>
  <si>
    <t>竹浪遠</t>
  </si>
  <si>
    <t>京都市立芸術大学</t>
  </si>
  <si>
    <t>日本の美術8</t>
  </si>
  <si>
    <t>日本の美術108</t>
  </si>
  <si>
    <t>20世紀の女性美術家と視覚表象の調査研究</t>
  </si>
  <si>
    <t>北原恵</t>
  </si>
  <si>
    <t>大阪大学文学研究科・日本学研究室</t>
  </si>
  <si>
    <t>日本の美術9</t>
  </si>
  <si>
    <t>日本の美術109</t>
  </si>
  <si>
    <t>令和四年度 奈良国立博物館 文化財保存修理所 修理報告書 第六号</t>
  </si>
  <si>
    <t>日本の美術10</t>
  </si>
  <si>
    <t>日本の美術110</t>
  </si>
  <si>
    <t>令和二年度 京都国立博物館 文化財保存修理所 修理報告書 21</t>
  </si>
  <si>
    <t>日本の美術11</t>
  </si>
  <si>
    <t>日本の美術111</t>
  </si>
  <si>
    <t>令和元年度 京都国立博物館 文化財保存修理所 修理報告書 20</t>
  </si>
  <si>
    <t>日本の美術12</t>
  </si>
  <si>
    <t>日本の美術112</t>
  </si>
  <si>
    <t>平成25-27年度 九州国立博物館 文化財修理報告</t>
  </si>
  <si>
    <t>九州国立博物館</t>
  </si>
  <si>
    <t>日本の美術13</t>
  </si>
  <si>
    <t>日本の美術113</t>
  </si>
  <si>
    <t>浄土真宗を中心とした祖師信仰とその造形</t>
  </si>
  <si>
    <t>佐々木丞平</t>
  </si>
  <si>
    <t>仏教美術研究上野記念財団</t>
  </si>
  <si>
    <t>日本の美術14</t>
  </si>
  <si>
    <t>日本の美術114</t>
  </si>
  <si>
    <t>タイ所在日本製漆工品に関する調査研究(2)</t>
  </si>
  <si>
    <t>二神葉子</t>
  </si>
  <si>
    <t>日本の美術15</t>
  </si>
  <si>
    <t>日本の美術115</t>
  </si>
  <si>
    <t>妙法寺蔵 与謝蕪村筆 寒山拾得図 共同研究報告書</t>
  </si>
  <si>
    <t>2冊あり</t>
  </si>
  <si>
    <t>日本の美術16</t>
  </si>
  <si>
    <t>日本の美術116</t>
  </si>
  <si>
    <t>東京国立博物館所蔵 平安仏画 ―光学調査報告書―</t>
  </si>
  <si>
    <t>日本の美術17</t>
  </si>
  <si>
    <t>日本の美術117</t>
  </si>
  <si>
    <t>特別展 平泉 みちのくの浄土</t>
  </si>
  <si>
    <t>大塚巧芸新社</t>
  </si>
  <si>
    <t>日本の美術18</t>
  </si>
  <si>
    <t>日本の美術118</t>
  </si>
  <si>
    <t>ものの記憶 ―色を記録し・伝え・遺す―</t>
  </si>
  <si>
    <t>日本の美術19</t>
  </si>
  <si>
    <t>日本の美術119</t>
  </si>
  <si>
    <t>和宗総本山 四天王寺所蔵　国宝 扇面法華経冊子 光学調査報告書 カラー写真編</t>
  </si>
  <si>
    <t>日本の美術20</t>
  </si>
  <si>
    <t>日本の美術120</t>
  </si>
  <si>
    <t>和宗総本山 四天王寺所蔵　国宝 扇面法華経冊子 光学調査報告書 近紫外線写真・蛍光写真・近赤外線写真編</t>
  </si>
  <si>
    <t>日本の美術21</t>
  </si>
  <si>
    <t>日本の美術121</t>
  </si>
  <si>
    <t>和宗総本山 四天王寺所蔵　国宝 扇面法華経冊子 光学調査報告書 蛍光X線分析編</t>
  </si>
  <si>
    <t>日本の美術22</t>
  </si>
  <si>
    <t>日本の美術122</t>
  </si>
  <si>
    <t>国宝 法華経（久能寺経） 光学調査報告書</t>
  </si>
  <si>
    <t>日本の美術23</t>
  </si>
  <si>
    <t>宮内庁三の丸尚蔵館所蔵 春日権現験記絵 巻十九・巻二十 光学調査報告書</t>
  </si>
  <si>
    <t>日本の美術24</t>
  </si>
  <si>
    <t>宮内庁三の丸尚蔵館所蔵 春日権現験記絵 巻十五・巻十六 光学調査報告書</t>
  </si>
  <si>
    <t>日本の美術25</t>
  </si>
  <si>
    <t>宮内庁三の丸尚蔵館所蔵 春日権現験記絵 巻十三・巻十四 光学調査報告書</t>
  </si>
  <si>
    <t>日本の美術26</t>
  </si>
  <si>
    <t>宮内庁三の丸尚蔵館所蔵 春日権現験記絵 巻十一・巻十二 光学調査報告書</t>
  </si>
  <si>
    <t>日本の美術27</t>
  </si>
  <si>
    <t>宮内庁三の丸尚蔵館所蔵 春日権現験記絵 巻九・巻十 光学調査報告書</t>
  </si>
  <si>
    <t>日本の美術28</t>
  </si>
  <si>
    <t>宮内庁三の丸尚蔵館所蔵 春日権現験記絵 巻七・巻八 光学調査報告書</t>
  </si>
  <si>
    <t>日本の美術29</t>
  </si>
  <si>
    <t>宮内庁三の丸尚蔵館所蔵 春日権現験記絵 巻五・巻六 光学調査報告書</t>
  </si>
  <si>
    <t>日本の美術30</t>
  </si>
  <si>
    <t>宮内庁三の丸尚蔵館所蔵 春日権現験記絵 巻三・巻四 光学調査報告書</t>
  </si>
  <si>
    <t>日本の美術31</t>
  </si>
  <si>
    <t>宮内庁三の丸尚蔵館所蔵 春日権現験記絵 巻一・巻二 光学調査報告書</t>
  </si>
  <si>
    <t>日本の美術32</t>
  </si>
  <si>
    <t>日本の美術33</t>
  </si>
  <si>
    <t>日本の美術34</t>
  </si>
  <si>
    <t>7段目</t>
  </si>
  <si>
    <t>日本の美術35</t>
  </si>
  <si>
    <t>久安六年本 三國祖師影の研究</t>
  </si>
  <si>
    <t>高橋正隆</t>
  </si>
  <si>
    <t>日本の美術36</t>
  </si>
  <si>
    <t>奈良の寺1 法隆寺 西院伽藍</t>
  </si>
  <si>
    <t>浅野清</t>
  </si>
  <si>
    <t>日本の美術37</t>
  </si>
  <si>
    <t>奈良の寺2 法隆寺 東院伽藍と西院諸堂</t>
  </si>
  <si>
    <t>鈴木嘉吉</t>
  </si>
  <si>
    <t>日本の美術38</t>
  </si>
  <si>
    <t>奈良の寺4 法隆寺 五重塔の塑像</t>
  </si>
  <si>
    <t>長廣敏雄</t>
  </si>
  <si>
    <t>日本の美術39</t>
  </si>
  <si>
    <t>奈良の寺5 法隆寺 夢殿観音と百済観音</t>
  </si>
  <si>
    <t>日本の美術40</t>
  </si>
  <si>
    <t>奈良の寺6 法隆寺 玉虫厨子と橘夫人厨子</t>
  </si>
  <si>
    <t>秋山光和</t>
  </si>
  <si>
    <t>日本の美術41</t>
  </si>
  <si>
    <t>奈良の寺8 法隆寺 金堂壁画</t>
  </si>
  <si>
    <t xml:space="preserve">柳沢孝 </t>
  </si>
  <si>
    <t>日本の美術42</t>
  </si>
  <si>
    <t>奈良の寺9 薬師寺 金堂薬師三尊と聖観音</t>
  </si>
  <si>
    <t>長谷川誠</t>
  </si>
  <si>
    <t>日本の美術43</t>
  </si>
  <si>
    <t>奈良の寺10 薬師寺 東塔</t>
  </si>
  <si>
    <t>沢村仁</t>
  </si>
  <si>
    <t>日本の美術44</t>
  </si>
  <si>
    <t>奈良の寺11 興福寺 八部衆と十大弟子</t>
  </si>
  <si>
    <t>毛利久</t>
  </si>
  <si>
    <t>日本の美術45</t>
  </si>
  <si>
    <t>奈良の寺12 興福寺 東金堂の諸像</t>
  </si>
  <si>
    <t>井上正</t>
  </si>
  <si>
    <t>日本の美術46</t>
  </si>
  <si>
    <t>奈良の寺13 興福寺 北円堂と南円堂の諸像</t>
  </si>
  <si>
    <t>西川杏太郎</t>
  </si>
  <si>
    <t>日本の美術47</t>
  </si>
  <si>
    <t>奈良の寺14 東大寺 大仏と大仏殿</t>
  </si>
  <si>
    <t>前田泰次</t>
  </si>
  <si>
    <t>日本の美術48</t>
  </si>
  <si>
    <t>奈良の寺15 東大寺 法華堂の乾漆像</t>
  </si>
  <si>
    <t>町田甲一</t>
  </si>
  <si>
    <t>日本の美術49</t>
  </si>
  <si>
    <t>奈良の寺16 東大寺 法華堂と戒壇院の塑像</t>
  </si>
  <si>
    <t>倉田文作</t>
  </si>
  <si>
    <t>日本の美術50</t>
  </si>
  <si>
    <t>奈良の寺17 東大寺 南大門と二王</t>
  </si>
  <si>
    <t>太田博太郎</t>
  </si>
  <si>
    <t>日本の美術51</t>
  </si>
  <si>
    <t>奈良の寺18 唐招提寺 金堂と講堂</t>
  </si>
  <si>
    <t>工藤圭章</t>
  </si>
  <si>
    <t>日本の美術52</t>
  </si>
  <si>
    <t>奈良の寺19 唐招提寺 金堂の仏像</t>
  </si>
  <si>
    <t>日本の美術53</t>
  </si>
  <si>
    <t>奈良の寺20 唐招提寺 鑑真像と木彫群</t>
  </si>
  <si>
    <t>西川新次</t>
  </si>
  <si>
    <t>日本の美術54</t>
  </si>
  <si>
    <t>奈良の寺21 西大寺 舎利塔十二天</t>
  </si>
  <si>
    <t>岡田譲</t>
  </si>
  <si>
    <t>日本の美術55</t>
  </si>
  <si>
    <t>大和の古寺1 中宮寺・法輪寺・法起寺</t>
  </si>
  <si>
    <t>日本の美術56</t>
  </si>
  <si>
    <t>大和の古寺2 当麻寺</t>
  </si>
  <si>
    <t>柳澤孝</t>
  </si>
  <si>
    <t>日本の美術57</t>
  </si>
  <si>
    <t>大和の古寺3 元興寺・元興寺極楽坊・般若寺・十輪院</t>
  </si>
  <si>
    <t>日本の美術58</t>
  </si>
  <si>
    <t>大和の古寺4 新薬師寺・白毫寺・円成寺・大安寺</t>
  </si>
  <si>
    <t>日本の美術59</t>
  </si>
  <si>
    <t>大和の古寺5 秋篠寺・法華寺・海龍王寺・不退寺</t>
  </si>
  <si>
    <t>日本の美術60</t>
  </si>
  <si>
    <t>大和の古寺6 室生寺</t>
  </si>
  <si>
    <t>水野敬三郎</t>
  </si>
  <si>
    <t>日本の美術61</t>
  </si>
  <si>
    <t>大和の古寺7 浄瑠璃寺・岩船寺・海住山寺</t>
  </si>
  <si>
    <t>浜島正士</t>
  </si>
  <si>
    <t>日本の美術62</t>
  </si>
  <si>
    <t>(過去の発表資料)</t>
  </si>
  <si>
    <t>日本の美術63</t>
  </si>
  <si>
    <t>日本の美術64</t>
  </si>
  <si>
    <t>日本の美術65</t>
  </si>
  <si>
    <t>日本の美術66</t>
  </si>
  <si>
    <t>日本の美術67</t>
  </si>
  <si>
    <t>日本の美術68</t>
  </si>
  <si>
    <t>日本の美術69</t>
  </si>
  <si>
    <t>日本の美術70</t>
  </si>
  <si>
    <t>日本の美術71</t>
  </si>
  <si>
    <t>日本の美術72</t>
  </si>
  <si>
    <t>日本の美術73</t>
  </si>
  <si>
    <t>日本の美術74</t>
  </si>
  <si>
    <t>日本の美術75</t>
  </si>
  <si>
    <t>日本の美術76</t>
  </si>
  <si>
    <t>日本の美術77</t>
  </si>
  <si>
    <t>日本の美術78</t>
  </si>
  <si>
    <t>日本の美術79</t>
  </si>
  <si>
    <t>日本の美術80</t>
  </si>
  <si>
    <t>日本の美術81</t>
  </si>
  <si>
    <t>日本の美術82</t>
  </si>
  <si>
    <t>日本の美術83</t>
  </si>
  <si>
    <t>日本の美術84</t>
  </si>
  <si>
    <t>日本の美術85</t>
  </si>
  <si>
    <t>日本の美術86</t>
  </si>
  <si>
    <t>日本の美術87</t>
  </si>
  <si>
    <t>日本の美術88</t>
  </si>
  <si>
    <t>日本の美術89</t>
  </si>
  <si>
    <t>日本の美術90</t>
  </si>
  <si>
    <t>日本の美術91</t>
  </si>
  <si>
    <t>日本の美術92</t>
  </si>
  <si>
    <t>日本の美術93</t>
  </si>
  <si>
    <t>日本の美術94</t>
  </si>
  <si>
    <t>日本の美術95</t>
  </si>
  <si>
    <t>日本の美術96</t>
  </si>
  <si>
    <t>日本の美術97</t>
  </si>
  <si>
    <t>日本の美術98</t>
  </si>
  <si>
    <t>日本の美術99</t>
  </si>
  <si>
    <t>日本の美術100</t>
  </si>
  <si>
    <t>魅惑の仏像1 阿修羅 奈良・興福寺</t>
  </si>
  <si>
    <t>魅惑の仏像2 千手観音 奈良・唐招提寺金堂</t>
  </si>
  <si>
    <t>魅惑の仏像3 釈迦三尊 奈良・法隆寺金堂</t>
  </si>
  <si>
    <t>魅惑の仏像4 弥勒菩薩 京都・広隆寺</t>
  </si>
  <si>
    <t>魅惑の仏像5 薬師三尊 奈良・薬師寺金堂</t>
  </si>
  <si>
    <t>魅惑の仏像6 四天王 奈良・東大寺戒壇堂</t>
  </si>
  <si>
    <t>魅惑の仏像7 十一面観音 滋賀・向源寺</t>
  </si>
  <si>
    <t>魅惑の仏像8 阿弥陀如来 京都・平等院鳳凰堂</t>
  </si>
  <si>
    <t>魅惑の仏像9 十二神将 奈良・新薬師寺</t>
  </si>
  <si>
    <t>魅惑の仏像10 盧舎那仏 奈良・唐招提寺金堂</t>
  </si>
  <si>
    <t>魅惑の仏像11 五大明王 京都・教王護国寺講堂</t>
  </si>
  <si>
    <t>魅惑の仏像12 不空羂索観音 奈良・東大寺法華堂</t>
  </si>
  <si>
    <t>魅惑の仏像13 金剛力士 奈良・興福寺</t>
  </si>
  <si>
    <t>魅惑の仏像14 百済観音 奈良・法隆寺</t>
  </si>
  <si>
    <t>魅惑の仏像15 如意輪観音 大阪・観心寺</t>
  </si>
  <si>
    <t>魅惑の仏像16 風神・雷神 京都・妙法院三十三間堂</t>
  </si>
  <si>
    <t>魅惑の仏像17 雲中供養菩薩 京都・平等院鳳凰堂</t>
  </si>
  <si>
    <t>魅惑の仏像18 聖観音 奈良・薬師寺東院堂</t>
  </si>
  <si>
    <t>魅惑の仏像19 五大虚空蔵菩薩 京都・神護寺多宝塔</t>
  </si>
  <si>
    <t>魅惑の仏像20 阿弥陀三尊 兵庫・浄土寺浄土堂</t>
  </si>
  <si>
    <t>魅惑の仏像21 十一面観音 奈良・室生寺</t>
  </si>
  <si>
    <t>魅惑の仏像22 天燈鬼・竜燈鬼 奈良・興福寺</t>
  </si>
  <si>
    <t>魅惑の仏像23 如意輪観音 京都・宝菩提院</t>
  </si>
  <si>
    <t>魅惑の仏像24 薬師如来 京都・神護寺本堂</t>
  </si>
  <si>
    <t>魅惑の仏像25 二十八部衆 京都・妙法院三十三間堂</t>
  </si>
  <si>
    <t>魅惑の仏像26 釈迦如来 奈良・室生寺弥勒堂</t>
  </si>
  <si>
    <t>魅惑の仏像27 如意輪観音 奈良・中宮寺</t>
  </si>
  <si>
    <t>魅惑の仏像28 大日如来 奈良・円成寺多宝塔</t>
  </si>
  <si>
    <t>仏像大系1 図でみる仏像篇1</t>
  </si>
  <si>
    <t>国書刊行会</t>
  </si>
  <si>
    <t>仏像大系2 図でみる仏像篇2</t>
  </si>
  <si>
    <t>仏像大系3 図でみる仏像篇3</t>
  </si>
  <si>
    <t>仏像大系4 図でみる仏像篇4</t>
  </si>
  <si>
    <t>仏像大系5 写真でみる仏像篇1</t>
  </si>
  <si>
    <t>仏像大系6 写真でみる仏像篇2</t>
  </si>
  <si>
    <t>仏像大系7 写真でみる仏像篇3</t>
  </si>
  <si>
    <t>仏像大系8 写真でみる仏像篇4</t>
  </si>
  <si>
    <t>仏像大系9 写真でみる仏像篇5</t>
  </si>
  <si>
    <t>仏像大系10 図印篇</t>
  </si>
  <si>
    <t>仏像大系11 索引・用語解説</t>
  </si>
  <si>
    <t>日面佛月面佛 中尊寺を中心とする奥州藤原文化圏の宗教彫像に関する調査研究</t>
  </si>
  <si>
    <t>有賀祥隆ほか</t>
  </si>
  <si>
    <t>2000-2002</t>
  </si>
  <si>
    <t>東國乃仏像 奥州佛教文化圏に遺る宗教彫像の基礎的調査研究</t>
  </si>
  <si>
    <t>2006-2008</t>
  </si>
  <si>
    <t>東國乃仏像2 東日本に分布する宗教彫像の基礎的調査研究-古代から中世への変容を軸に</t>
  </si>
  <si>
    <t>東國乃仏像3【報告編】 生身と霊験-宗教的意味を踏まえた仏像の基礎的調査研究</t>
  </si>
  <si>
    <t>東國乃仏像3【図録編】 生身と霊験-宗教的意味を踏まえた仏像の基礎的調査研究</t>
  </si>
  <si>
    <t>東國乃仏像4 仏像の表象機能に関わる総合的調査研究-空間・荘厳・胎内に着目して</t>
  </si>
  <si>
    <t>中尊寺を中心とする奥州藤原文化圏の宗教彫像に関する調査研究</t>
  </si>
  <si>
    <t>被りあり</t>
  </si>
  <si>
    <t>随唐時代の仏舎利信仰と荘厳に関する総合的調査研究</t>
  </si>
  <si>
    <t>加島勝ほか</t>
  </si>
  <si>
    <t>2009-2011</t>
  </si>
  <si>
    <t>弥勒造像史における「間-世界性」表現の系譜</t>
  </si>
  <si>
    <t>泉武夫ほか</t>
  </si>
  <si>
    <t>2017-2021</t>
  </si>
  <si>
    <t>「奉為の造像」研究</t>
  </si>
  <si>
    <t>長岡龍作ほか</t>
  </si>
  <si>
    <t>2006-2009</t>
  </si>
  <si>
    <t>中尊寺を中心とする奥州藤原文化圏美術工芸品に関する総合的調査研究</t>
  </si>
  <si>
    <t>1996-1998</t>
  </si>
  <si>
    <t>兜率天往生の思想とそのかたち</t>
  </si>
  <si>
    <t>2007-2010</t>
  </si>
  <si>
    <t>日本美術全集 別巻 総索引</t>
  </si>
  <si>
    <t>日本彫刻史概説（飛鳥～鎌倉時代）</t>
  </si>
  <si>
    <t>日本美術全集1 原始の造形-縄文・弥生・古墳時代の美術</t>
  </si>
  <si>
    <t>日本美術全集2 飛鳥・奈良の建築・彫刻 法隆寺から薬師寺へ</t>
  </si>
  <si>
    <t>日本美術全集3 飛鳥・奈良の絵画・工芸 正倉院と上代絵画</t>
  </si>
  <si>
    <t>日本美術全集4 奈良の建築・彫刻 東大寺と平城京</t>
  </si>
  <si>
    <t>日本美術全集5 平安の建築・彫刻1 密教寺院と仏像</t>
  </si>
  <si>
    <t>日本美術全集6 平安の建築・彫刻2 平等院と定朝</t>
  </si>
  <si>
    <t>日本美術全集7 平安の絵画・工芸1 曼荼羅と来迎図</t>
  </si>
  <si>
    <t>日本美術全集8 平安の絵画・工芸2 王朝絵巻と装飾経</t>
  </si>
  <si>
    <t>日本美術全集9 鎌倉の絵画・工芸 縁起絵と似絵</t>
  </si>
  <si>
    <t>日本美術全集10 鎌倉の建築・彫刻 運慶と快慶</t>
  </si>
  <si>
    <t>日本美術全集11 南北朝・室町の建築・彫刻・工芸 禅宗寺院と庭園</t>
  </si>
  <si>
    <t>日本美術全集12 南北朝・室町の絵画1 水墨画と中世絵巻</t>
  </si>
  <si>
    <t>日本美術全集13 南北朝・室町の絵画2 雪舟とやまと絵屏風</t>
  </si>
  <si>
    <t>日本美術全集14 桃山の建築・工芸1 城と茶室</t>
  </si>
  <si>
    <t>日本美術全集15 桃山の絵画・工芸2 永徳と障屏画</t>
  </si>
  <si>
    <t>日本美術全集16 江戸の建築1 彫刻 桂離宮と東照宮</t>
  </si>
  <si>
    <t>日本美術全集17 江戸の絵画1 狩野派と風俗画</t>
  </si>
  <si>
    <t>日本美術全集18 江戸の絵画2 工芸1 宗達と光琳</t>
  </si>
  <si>
    <t>日本美術全集19 江戸の絵画3・建築2 大雅と応挙</t>
  </si>
  <si>
    <t>日本美術全集20 江戸の絵画4 工芸2 浮世絵</t>
  </si>
  <si>
    <t>日本美術全集21 近代の美術1 江戸から明治へ</t>
  </si>
  <si>
    <t>日本美術全集22 近代の美術2 洋画と日本画</t>
  </si>
  <si>
    <t>日本美術全集23 近代の美術3 モダニズムと伝統</t>
  </si>
  <si>
    <t>日本美術全集24 近代の美術4 建築とデザイン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</si>
</sst>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24"/>
      <color rgb="FF08131A"/>
      <name val="YakuHanJPs"/>
    </font>
    <font>
      <sz val="10"/>
      <color theme="1"/>
      <name val="Arial"/>
      <family val="2"/>
      <scheme val="minor"/>
    </font>
    <font>
      <sz val="10"/>
      <color theme="1"/>
      <name val="Arial"/>
      <family val="2"/>
    </font>
    <font>
      <sz val="10"/>
      <color rgb="FF333333"/>
      <name val="メイリオ"/>
      <family val="3"/>
      <charset val="128"/>
    </font>
    <font>
      <sz val="10"/>
      <color theme="1"/>
      <name val="メイリオ"/>
      <family val="3"/>
      <charset val="128"/>
    </font>
    <font>
      <sz val="10"/>
      <color theme="1"/>
      <name val="Arial"/>
      <family val="2"/>
      <scheme val="minor"/>
    </font>
    <font>
      <sz val="10"/>
      <color theme="1"/>
      <name val="Arial"/>
      <family val="2"/>
    </font>
    <font>
      <sz val="10"/>
      <color rgb="FF000000"/>
      <name val="Arial"/>
      <family val="2"/>
    </font>
    <font>
      <sz val="11"/>
      <color rgb="FF000000"/>
      <name val="Inherit"/>
    </font>
    <font>
      <sz val="10"/>
      <color rgb="FF333333"/>
      <name val="Arial"/>
      <family val="2"/>
    </font>
    <font>
      <sz val="10"/>
      <color rgb="FF333333"/>
      <name val="Arial"/>
      <family val="2"/>
      <scheme val="minor"/>
    </font>
    <font>
      <sz val="6"/>
      <name val="Arial"/>
      <family val="3"/>
      <charset val="128"/>
      <scheme val="minor"/>
    </font>
  </fonts>
  <fills count="5">
    <fill>
      <patternFill patternType="none"/>
    </fill>
    <fill>
      <patternFill patternType="gray125"/>
    </fill>
    <fill>
      <patternFill patternType="solid">
        <fgColor rgb="FFFFFFFF"/>
        <bgColor rgb="FFFFFFFF"/>
      </patternFill>
    </fill>
    <fill>
      <patternFill patternType="solid">
        <fgColor rgb="FFB7E1CD"/>
        <bgColor rgb="FFB7E1CD"/>
      </patternFill>
    </fill>
    <fill>
      <patternFill patternType="solid">
        <fgColor rgb="FFD9EAD3"/>
        <bgColor rgb="FFD9EAD3"/>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2" fillId="0" borderId="0" xfId="0" applyFont="1" applyAlignment="1">
      <alignment horizontal="center"/>
    </xf>
    <xf numFmtId="0" fontId="2" fillId="3" borderId="0" xfId="0" applyFont="1" applyFill="1" applyAlignment="1">
      <alignment horizontal="center"/>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0" xfId="0" applyFont="1"/>
    <xf numFmtId="0" fontId="3" fillId="0" borderId="0" xfId="0" applyFont="1"/>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xf numFmtId="0" fontId="7" fillId="2" borderId="0" xfId="0" applyFont="1" applyFill="1" applyAlignment="1">
      <alignment horizontal="left"/>
    </xf>
    <xf numFmtId="0" fontId="8" fillId="2" borderId="0" xfId="0" applyFont="1" applyFill="1" applyAlignment="1">
      <alignment horizontal="left"/>
    </xf>
    <xf numFmtId="0" fontId="9" fillId="2" borderId="0" xfId="0" applyFont="1" applyFill="1"/>
    <xf numFmtId="0" fontId="10" fillId="2" borderId="0" xfId="0" applyFont="1" applyFill="1"/>
    <xf numFmtId="0" fontId="11" fillId="2" borderId="0" xfId="0" applyFont="1" applyFill="1"/>
    <xf numFmtId="0" fontId="2" fillId="0" borderId="0" xfId="0" applyFont="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0"/>
  <sheetViews>
    <sheetView tabSelected="1" workbookViewId="0"/>
  </sheetViews>
  <sheetFormatPr defaultColWidth="12.6328125" defaultRowHeight="15.75" customHeight="1"/>
  <cols>
    <col min="3" max="3" width="6.26953125" customWidth="1"/>
    <col min="4" max="4" width="6.08984375" customWidth="1"/>
    <col min="5" max="5" width="32.36328125" customWidth="1"/>
    <col min="6" max="6" width="26.453125" customWidth="1"/>
  </cols>
  <sheetData>
    <row r="1" spans="1:9" ht="15.75" customHeight="1">
      <c r="A1" s="1"/>
    </row>
    <row r="2" spans="1:9" ht="15.75" customHeight="1">
      <c r="A2" s="2" t="s">
        <v>0</v>
      </c>
    </row>
    <row r="3" spans="1:9" ht="15.75" customHeight="1">
      <c r="A3" s="3" t="s">
        <v>1</v>
      </c>
      <c r="C3" s="3" t="s">
        <v>2</v>
      </c>
      <c r="D3" s="3" t="s">
        <v>3</v>
      </c>
      <c r="E3" s="4" t="s">
        <v>4</v>
      </c>
      <c r="F3" s="4" t="s">
        <v>5</v>
      </c>
      <c r="G3" s="4" t="s">
        <v>6</v>
      </c>
      <c r="H3" s="4" t="s">
        <v>7</v>
      </c>
      <c r="I3" s="4" t="s">
        <v>8</v>
      </c>
    </row>
    <row r="4" spans="1:9" ht="15.75" customHeight="1">
      <c r="A4" s="5"/>
      <c r="C4" s="5" t="str">
        <f t="array" ref="C4">IFERROR(IF($A$4="", "", INDEX(sheet2!$A:$H, MATCH(ROW(A1), sheet2!$H:$H, 0), COLUMN(A1))), "")</f>
        <v/>
      </c>
      <c r="D4" s="5" t="str">
        <f t="array" ref="D4">IFERROR(IF($A$4="", "", INDEX(sheet2!$A:$G, MATCH(ROW(B1), sheet2!$H:$H, 0), COLUMN(B1))), "")</f>
        <v/>
      </c>
      <c r="E4" s="6" t="str">
        <f t="array" ref="E4">IFERROR(IF($A$4="", "", INDEX(sheet2!$A:$G, MATCH(ROW(C1), sheet2!$H:$H, 0), COLUMN(C1))), "")</f>
        <v/>
      </c>
      <c r="F4" s="6" t="str">
        <f t="array" ref="F4">IFERROR(IF($A$4="", "", INDEX(sheet2!$A:$G, MATCH(ROW(D1), sheet2!$H:$H, 0), COLUMN(D1))), "")</f>
        <v/>
      </c>
      <c r="G4" s="6" t="str">
        <f t="array" ref="G4">IFERROR(IF($A$4="", "", INDEX(sheet2!$A:$G, MATCH(ROW(E1), sheet2!$H:$H, 0), COLUMN(E1))), "")</f>
        <v/>
      </c>
      <c r="H4" s="6" t="str">
        <f t="array" ref="H4">IFERROR(IF($A$4="", "", INDEX(sheet2!$A:$G, MATCH(ROW(F1), sheet2!$H:$H, 0), COLUMN(F1))), "")</f>
        <v/>
      </c>
      <c r="I4" s="6" t="str">
        <f t="array" ref="I4">IFERROR(IF($A$4="", "", INDEX(sheet2!$A:$G, MATCH(ROW(G1), sheet2!$H:$H, 0), COLUMN(G1))), "")</f>
        <v/>
      </c>
    </row>
    <row r="5" spans="1:9" ht="15.75" customHeight="1">
      <c r="A5" s="2"/>
      <c r="C5" s="5" t="str">
        <f t="array" ref="C5">IFERROR(IF($A$4="", "", INDEX(sheet2!$A:$H, MATCH(ROW(A2), sheet2!$H:$H, 0), COLUMN(A2))), "")</f>
        <v/>
      </c>
      <c r="D5" s="5" t="str">
        <f t="array" ref="D5">IFERROR(IF($A$4="", "", INDEX(sheet2!$A:$G, MATCH(ROW(B2), sheet2!$H:$H, 0), COLUMN(B2))), "")</f>
        <v/>
      </c>
      <c r="E5" s="6" t="str">
        <f t="array" ref="E5">IFERROR(IF($A$4="", "", INDEX(sheet2!$A:$G, MATCH(ROW(C2), sheet2!$H:$H, 0), COLUMN(C2))), "")</f>
        <v/>
      </c>
      <c r="F5" s="6" t="str">
        <f t="array" ref="F5">IFERROR(IF($A$4="", "", INDEX(sheet2!$A:$G, MATCH(ROW(D2), sheet2!$H:$H, 0), COLUMN(D2))), "")</f>
        <v/>
      </c>
      <c r="G5" s="6" t="str">
        <f t="array" ref="G5">IFERROR(IF($A$4="", "", INDEX(sheet2!$A:$G, MATCH(ROW(E2), sheet2!$H:$H, 0), COLUMN(E2))), "")</f>
        <v/>
      </c>
      <c r="H5" s="6" t="str">
        <f t="array" ref="H5">IFERROR(IF($A$4="", "", INDEX(sheet2!$A:$G, MATCH(ROW(F2), sheet2!$H:$H, 0), COLUMN(F2))), "")</f>
        <v/>
      </c>
      <c r="I5" s="6" t="str">
        <f t="array" ref="I5">IFERROR(IF($A$4="", "", INDEX(sheet2!$A:$G, MATCH(ROW(G2), sheet2!$H:$H, 0), COLUMN(G2))), "")</f>
        <v/>
      </c>
    </row>
    <row r="6" spans="1:9" ht="15.75" customHeight="1">
      <c r="C6" s="5" t="str">
        <f t="array" ref="C6">IFERROR(IF($A$4="", "", INDEX(sheet2!$A:$H, MATCH(ROW(A3), sheet2!$H:$H, 0), COLUMN(A3))), "")</f>
        <v/>
      </c>
      <c r="D6" s="5" t="str">
        <f t="array" ref="D6">IFERROR(IF($A$4="", "", INDEX(sheet2!$A:$G, MATCH(ROW(B3), sheet2!$H:$H, 0), COLUMN(B3))), "")</f>
        <v/>
      </c>
      <c r="E6" s="6" t="str">
        <f t="array" ref="E6">IFERROR(IF($A$4="", "", INDEX(sheet2!$A:$G, MATCH(ROW(C3), sheet2!$H:$H, 0), COLUMN(C3))), "")</f>
        <v/>
      </c>
      <c r="F6" s="6" t="str">
        <f t="array" ref="F6">IFERROR(IF($A$4="", "", INDEX(sheet2!$A:$G, MATCH(ROW(D3), sheet2!$H:$H, 0), COLUMN(D3))), "")</f>
        <v/>
      </c>
      <c r="G6" s="6" t="str">
        <f t="array" ref="G6">IFERROR(IF($A$4="", "", INDEX(sheet2!$A:$G, MATCH(ROW(E3), sheet2!$H:$H, 0), COLUMN(E3))), "")</f>
        <v/>
      </c>
      <c r="H6" s="6" t="str">
        <f t="array" ref="H6">IFERROR(IF($A$4="", "", INDEX(sheet2!$A:$G, MATCH(ROW(F3), sheet2!$H:$H, 0), COLUMN(F3))), "")</f>
        <v/>
      </c>
      <c r="I6" s="6" t="str">
        <f t="array" ref="I6">IFERROR(IF($A$4="", "", INDEX(sheet2!$A:$G, MATCH(ROW(G3), sheet2!$H:$H, 0), COLUMN(G3))), "")</f>
        <v/>
      </c>
    </row>
    <row r="7" spans="1:9" ht="15.75" customHeight="1">
      <c r="C7" s="5" t="str">
        <f t="array" ref="C7">IFERROR(IF($A$4="", "", INDEX(sheet2!$A:$H, MATCH(ROW(A4), sheet2!$H:$H, 0), COLUMN(A4))), "")</f>
        <v/>
      </c>
      <c r="D7" s="5" t="str">
        <f t="array" ref="D7">IFERROR(IF($A$4="", "", INDEX(sheet2!$A:$G, MATCH(ROW(B4), sheet2!$H:$H, 0), COLUMN(B4))), "")</f>
        <v/>
      </c>
      <c r="E7" s="6" t="str">
        <f t="array" ref="E7">IFERROR(IF($A$4="", "", INDEX(sheet2!$A:$G, MATCH(ROW(C4), sheet2!$H:$H, 0), COLUMN(C4))), "")</f>
        <v/>
      </c>
      <c r="F7" s="6" t="str">
        <f t="array" ref="F7">IFERROR(IF($A$4="", "", INDEX(sheet2!$A:$G, MATCH(ROW(D4), sheet2!$H:$H, 0), COLUMN(D4))), "")</f>
        <v/>
      </c>
      <c r="G7" s="6" t="str">
        <f t="array" ref="G7">IFERROR(IF($A$4="", "", INDEX(sheet2!$A:$G, MATCH(ROW(E4), sheet2!$H:$H, 0), COLUMN(E4))), "")</f>
        <v/>
      </c>
      <c r="H7" s="6" t="str">
        <f t="array" ref="H7">IFERROR(IF($A$4="", "", INDEX(sheet2!$A:$G, MATCH(ROW(F4), sheet2!$H:$H, 0), COLUMN(F4))), "")</f>
        <v/>
      </c>
      <c r="I7" s="6" t="str">
        <f t="array" ref="I7">IFERROR(IF($A$4="", "", INDEX(sheet2!$A:$G, MATCH(ROW(G4), sheet2!$H:$H, 0), COLUMN(G4))), "")</f>
        <v/>
      </c>
    </row>
    <row r="8" spans="1:9" ht="15.75" customHeight="1">
      <c r="C8" s="5" t="str">
        <f t="array" ref="C8">IFERROR(IF($A$4="", "", INDEX(sheet2!$A:$H, MATCH(ROW(A5), sheet2!$H:$H, 0), COLUMN(A5))), "")</f>
        <v/>
      </c>
      <c r="D8" s="5" t="str">
        <f t="array" ref="D8">IFERROR(IF($A$4="", "", INDEX(sheet2!$A:$G, MATCH(ROW(B5), sheet2!$H:$H, 0), COLUMN(B5))), "")</f>
        <v/>
      </c>
      <c r="E8" s="6" t="str">
        <f t="array" ref="E8">IFERROR(IF($A$4="", "", INDEX(sheet2!$A:$G, MATCH(ROW(C5), sheet2!$H:$H, 0), COLUMN(C5))), "")</f>
        <v/>
      </c>
      <c r="F8" s="6" t="str">
        <f t="array" ref="F8">IFERROR(IF($A$4="", "", INDEX(sheet2!$A:$G, MATCH(ROW(D5), sheet2!$H:$H, 0), COLUMN(D5))), "")</f>
        <v/>
      </c>
      <c r="G8" s="6" t="str">
        <f t="array" ref="G8">IFERROR(IF($A$4="", "", INDEX(sheet2!$A:$G, MATCH(ROW(E5), sheet2!$H:$H, 0), COLUMN(E5))), "")</f>
        <v/>
      </c>
      <c r="H8" s="6" t="str">
        <f t="array" ref="H8">IFERROR(IF($A$4="", "", INDEX(sheet2!$A:$G, MATCH(ROW(F5), sheet2!$H:$H, 0), COLUMN(F5))), "")</f>
        <v/>
      </c>
      <c r="I8" s="6" t="str">
        <f t="array" ref="I8">IFERROR(IF($A$4="", "", INDEX(sheet2!$A:$G, MATCH(ROW(G5), sheet2!$H:$H, 0), COLUMN(G5))), "")</f>
        <v/>
      </c>
    </row>
    <row r="9" spans="1:9" ht="15.75" customHeight="1">
      <c r="C9" s="5" t="str">
        <f t="array" ref="C9">IFERROR(IF($A$4="", "", INDEX(sheet2!$A:$H, MATCH(ROW(A6), sheet2!$H:$H, 0), COLUMN(A6))), "")</f>
        <v/>
      </c>
      <c r="D9" s="5" t="str">
        <f t="array" ref="D9">IFERROR(IF($A$4="", "", INDEX(sheet2!$A:$G, MATCH(ROW(B6), sheet2!$H:$H, 0), COLUMN(B6))), "")</f>
        <v/>
      </c>
      <c r="E9" s="6" t="str">
        <f t="array" ref="E9">IFERROR(IF($A$4="", "", INDEX(sheet2!$A:$G, MATCH(ROW(C6), sheet2!$H:$H, 0), COLUMN(C6))), "")</f>
        <v/>
      </c>
      <c r="F9" s="6" t="str">
        <f t="array" ref="F9">IFERROR(IF($A$4="", "", INDEX(sheet2!$A:$G, MATCH(ROW(D6), sheet2!$H:$H, 0), COLUMN(D6))), "")</f>
        <v/>
      </c>
      <c r="G9" s="6" t="str">
        <f t="array" ref="G9">IFERROR(IF($A$4="", "", INDEX(sheet2!$A:$G, MATCH(ROW(E6), sheet2!$H:$H, 0), COLUMN(E6))), "")</f>
        <v/>
      </c>
      <c r="H9" s="6" t="str">
        <f t="array" ref="H9">IFERROR(IF($A$4="", "", INDEX(sheet2!$A:$G, MATCH(ROW(F6), sheet2!$H:$H, 0), COLUMN(F6))), "")</f>
        <v/>
      </c>
      <c r="I9" s="6" t="str">
        <f t="array" ref="I9">IFERROR(IF($A$4="", "", INDEX(sheet2!$A:$G, MATCH(ROW(G6), sheet2!$H:$H, 0), COLUMN(G6))), "")</f>
        <v/>
      </c>
    </row>
    <row r="10" spans="1:9" ht="15.75" customHeight="1">
      <c r="C10" s="5" t="str">
        <f t="array" ref="C10">IFERROR(IF($A$4="", "", INDEX(sheet2!$A:$H, MATCH(ROW(A7), sheet2!$H:$H, 0), COLUMN(A7))), "")</f>
        <v/>
      </c>
      <c r="D10" s="5" t="str">
        <f t="array" ref="D10">IFERROR(IF($A$4="", "", INDEX(sheet2!$A:$G, MATCH(ROW(B7), sheet2!$H:$H, 0), COLUMN(B7))), "")</f>
        <v/>
      </c>
      <c r="E10" s="6" t="str">
        <f t="array" ref="E10">IFERROR(IF($A$4="", "", INDEX(sheet2!$A:$G, MATCH(ROW(C7), sheet2!$H:$H, 0), COLUMN(C7))), "")</f>
        <v/>
      </c>
      <c r="F10" s="6" t="str">
        <f t="array" ref="F10">IFERROR(IF($A$4="", "", INDEX(sheet2!$A:$G, MATCH(ROW(D7), sheet2!$H:$H, 0), COLUMN(D7))), "")</f>
        <v/>
      </c>
      <c r="G10" s="6" t="str">
        <f t="array" ref="G10">IFERROR(IF($A$4="", "", INDEX(sheet2!$A:$G, MATCH(ROW(E7), sheet2!$H:$H, 0), COLUMN(E7))), "")</f>
        <v/>
      </c>
      <c r="H10" s="6" t="str">
        <f t="array" ref="H10">IFERROR(IF($A$4="", "", INDEX(sheet2!$A:$G, MATCH(ROW(F7), sheet2!$H:$H, 0), COLUMN(F7))), "")</f>
        <v/>
      </c>
      <c r="I10" s="6" t="str">
        <f t="array" ref="I10">IFERROR(IF($A$4="", "", INDEX(sheet2!$A:$G, MATCH(ROW(G7), sheet2!$H:$H, 0), COLUMN(G7))), "")</f>
        <v/>
      </c>
    </row>
    <row r="11" spans="1:9" ht="15.75" customHeight="1">
      <c r="C11" s="5" t="str">
        <f t="array" ref="C11">IFERROR(IF($A$4="", "", INDEX(sheet2!$A:$H, MATCH(ROW(A8), sheet2!$H:$H, 0), COLUMN(A8))), "")</f>
        <v/>
      </c>
      <c r="D11" s="5" t="str">
        <f t="array" ref="D11">IFERROR(IF($A$4="", "", INDEX(sheet2!$A:$G, MATCH(ROW(B8), sheet2!$H:$H, 0), COLUMN(B8))), "")</f>
        <v/>
      </c>
      <c r="E11" s="6" t="str">
        <f t="array" ref="E11">IFERROR(IF($A$4="", "", INDEX(sheet2!$A:$G, MATCH(ROW(C8), sheet2!$H:$H, 0), COLUMN(C8))), "")</f>
        <v/>
      </c>
      <c r="F11" s="6" t="str">
        <f t="array" ref="F11">IFERROR(IF($A$4="", "", INDEX(sheet2!$A:$G, MATCH(ROW(D8), sheet2!$H:$H, 0), COLUMN(D8))), "")</f>
        <v/>
      </c>
      <c r="G11" s="6" t="str">
        <f t="array" ref="G11">IFERROR(IF($A$4="", "", INDEX(sheet2!$A:$G, MATCH(ROW(E8), sheet2!$H:$H, 0), COLUMN(E8))), "")</f>
        <v/>
      </c>
      <c r="H11" s="6" t="str">
        <f t="array" ref="H11">IFERROR(IF($A$4="", "", INDEX(sheet2!$A:$G, MATCH(ROW(F8), sheet2!$H:$H, 0), COLUMN(F8))), "")</f>
        <v/>
      </c>
      <c r="I11" s="6" t="str">
        <f t="array" ref="I11">IFERROR(IF($A$4="", "", INDEX(sheet2!$A:$G, MATCH(ROW(G8), sheet2!$H:$H, 0), COLUMN(G8))), "")</f>
        <v/>
      </c>
    </row>
    <row r="12" spans="1:9" ht="15.75" customHeight="1">
      <c r="C12" s="5" t="str">
        <f t="array" ref="C12">IFERROR(IF($A$4="", "", INDEX(sheet2!$A:$H, MATCH(ROW(A9), sheet2!$H:$H, 0), COLUMN(A9))), "")</f>
        <v/>
      </c>
      <c r="D12" s="5" t="str">
        <f t="array" ref="D12">IFERROR(IF($A$4="", "", INDEX(sheet2!$A:$G, MATCH(ROW(B9), sheet2!$H:$H, 0), COLUMN(B9))), "")</f>
        <v/>
      </c>
      <c r="E12" s="6" t="str">
        <f t="array" ref="E12">IFERROR(IF($A$4="", "", INDEX(sheet2!$A:$G, MATCH(ROW(C9), sheet2!$H:$H, 0), COLUMN(C9))), "")</f>
        <v/>
      </c>
      <c r="F12" s="6" t="str">
        <f t="array" ref="F12">IFERROR(IF($A$4="", "", INDEX(sheet2!$A:$G, MATCH(ROW(D9), sheet2!$H:$H, 0), COLUMN(D9))), "")</f>
        <v/>
      </c>
      <c r="G12" s="6" t="str">
        <f t="array" ref="G12">IFERROR(IF($A$4="", "", INDEX(sheet2!$A:$G, MATCH(ROW(E9), sheet2!$H:$H, 0), COLUMN(E9))), "")</f>
        <v/>
      </c>
      <c r="H12" s="6" t="str">
        <f t="array" ref="H12">IFERROR(IF($A$4="", "", INDEX(sheet2!$A:$G, MATCH(ROW(F9), sheet2!$H:$H, 0), COLUMN(F9))), "")</f>
        <v/>
      </c>
      <c r="I12" s="6" t="str">
        <f t="array" ref="I12">IFERROR(IF($A$4="", "", INDEX(sheet2!$A:$G, MATCH(ROW(G9), sheet2!$H:$H, 0), COLUMN(G9))), "")</f>
        <v/>
      </c>
    </row>
    <row r="13" spans="1:9" ht="15.75" customHeight="1">
      <c r="C13" s="5" t="str">
        <f t="array" ref="C13">IFERROR(IF($A$4="", "", INDEX(sheet2!$A:$H, MATCH(ROW(A10), sheet2!$H:$H, 0), COLUMN(A10))), "")</f>
        <v/>
      </c>
      <c r="D13" s="5" t="str">
        <f t="array" ref="D13">IFERROR(IF($A$4="", "", INDEX(sheet2!$A:$G, MATCH(ROW(B10), sheet2!$H:$H, 0), COLUMN(B10))), "")</f>
        <v/>
      </c>
      <c r="E13" s="6" t="str">
        <f t="array" ref="E13">IFERROR(IF($A$4="", "", INDEX(sheet2!$A:$G, MATCH(ROW(C10), sheet2!$H:$H, 0), COLUMN(C10))), "")</f>
        <v/>
      </c>
      <c r="F13" s="6" t="str">
        <f t="array" ref="F13">IFERROR(IF($A$4="", "", INDEX(sheet2!$A:$G, MATCH(ROW(D10), sheet2!$H:$H, 0), COLUMN(D10))), "")</f>
        <v/>
      </c>
      <c r="G13" s="6" t="str">
        <f t="array" ref="G13">IFERROR(IF($A$4="", "", INDEX(sheet2!$A:$G, MATCH(ROW(E10), sheet2!$H:$H, 0), COLUMN(E10))), "")</f>
        <v/>
      </c>
      <c r="H13" s="6" t="str">
        <f t="array" ref="H13">IFERROR(IF($A$4="", "", INDEX(sheet2!$A:$G, MATCH(ROW(F10), sheet2!$H:$H, 0), COLUMN(F10))), "")</f>
        <v/>
      </c>
      <c r="I13" s="6" t="str">
        <f t="array" ref="I13">IFERROR(IF($A$4="", "", INDEX(sheet2!$A:$G, MATCH(ROW(G10), sheet2!$H:$H, 0), COLUMN(G10))), "")</f>
        <v/>
      </c>
    </row>
    <row r="14" spans="1:9" ht="15.75" customHeight="1">
      <c r="C14" s="5" t="str">
        <f t="array" ref="C14">IFERROR(IF($A$4="", "", INDEX(sheet2!$A:$H, MATCH(ROW(A11), sheet2!$H:$H, 0), COLUMN(A11))), "")</f>
        <v/>
      </c>
      <c r="D14" s="5" t="str">
        <f t="array" ref="D14">IFERROR(IF($A$4="", "", INDEX(sheet2!$A:$G, MATCH(ROW(B11), sheet2!$H:$H, 0), COLUMN(B11))), "")</f>
        <v/>
      </c>
      <c r="E14" s="6" t="str">
        <f t="array" ref="E14">IFERROR(IF($A$4="", "", INDEX(sheet2!$A:$G, MATCH(ROW(C11), sheet2!$H:$H, 0), COLUMN(C11))), "")</f>
        <v/>
      </c>
      <c r="F14" s="6" t="str">
        <f t="array" ref="F14">IFERROR(IF($A$4="", "", INDEX(sheet2!$A:$G, MATCH(ROW(D11), sheet2!$H:$H, 0), COLUMN(D11))), "")</f>
        <v/>
      </c>
      <c r="G14" s="6" t="str">
        <f t="array" ref="G14">IFERROR(IF($A$4="", "", INDEX(sheet2!$A:$G, MATCH(ROW(E11), sheet2!$H:$H, 0), COLUMN(E11))), "")</f>
        <v/>
      </c>
      <c r="H14" s="6" t="str">
        <f t="array" ref="H14">IFERROR(IF($A$4="", "", INDEX(sheet2!$A:$G, MATCH(ROW(F11), sheet2!$H:$H, 0), COLUMN(F11))), "")</f>
        <v/>
      </c>
      <c r="I14" s="6" t="str">
        <f t="array" ref="I14">IFERROR(IF($A$4="", "", INDEX(sheet2!$A:$G, MATCH(ROW(G11), sheet2!$H:$H, 0), COLUMN(G11))), "")</f>
        <v/>
      </c>
    </row>
    <row r="15" spans="1:9" ht="15.75" customHeight="1">
      <c r="C15" s="5" t="str">
        <f t="array" ref="C15">IFERROR(IF($A$4="", "", INDEX(sheet2!$A:$H, MATCH(ROW(A12), sheet2!$H:$H, 0), COLUMN(A12))), "")</f>
        <v/>
      </c>
      <c r="D15" s="5" t="str">
        <f t="array" ref="D15">IFERROR(IF($A$4="", "", INDEX(sheet2!$A:$G, MATCH(ROW(B12), sheet2!$H:$H, 0), COLUMN(B12))), "")</f>
        <v/>
      </c>
      <c r="E15" s="6" t="str">
        <f t="array" ref="E15">IFERROR(IF($A$4="", "", INDEX(sheet2!$A:$G, MATCH(ROW(C12), sheet2!$H:$H, 0), COLUMN(C12))), "")</f>
        <v/>
      </c>
      <c r="F15" s="6" t="str">
        <f t="array" ref="F15">IFERROR(IF($A$4="", "", INDEX(sheet2!$A:$G, MATCH(ROW(D12), sheet2!$H:$H, 0), COLUMN(D12))), "")</f>
        <v/>
      </c>
      <c r="G15" s="6" t="str">
        <f t="array" ref="G15">IFERROR(IF($A$4="", "", INDEX(sheet2!$A:$G, MATCH(ROW(E12), sheet2!$H:$H, 0), COLUMN(E12))), "")</f>
        <v/>
      </c>
      <c r="H15" s="6" t="str">
        <f t="array" ref="H15">IFERROR(IF($A$4="", "", INDEX(sheet2!$A:$G, MATCH(ROW(F12), sheet2!$H:$H, 0), COLUMN(F12))), "")</f>
        <v/>
      </c>
      <c r="I15" s="6" t="str">
        <f t="array" ref="I15">IFERROR(IF($A$4="", "", INDEX(sheet2!$A:$G, MATCH(ROW(G12), sheet2!$H:$H, 0), COLUMN(G12))), "")</f>
        <v/>
      </c>
    </row>
    <row r="16" spans="1:9" ht="15.75" customHeight="1">
      <c r="C16" s="5" t="str">
        <f t="array" ref="C16">IFERROR(IF($A$4="", "", INDEX(sheet2!$A:$H, MATCH(ROW(A13), sheet2!$H:$H, 0), COLUMN(A13))), "")</f>
        <v/>
      </c>
      <c r="D16" s="5" t="str">
        <f t="array" ref="D16">IFERROR(IF($A$4="", "", INDEX(sheet2!$A:$G, MATCH(ROW(B13), sheet2!$H:$H, 0), COLUMN(B13))), "")</f>
        <v/>
      </c>
      <c r="E16" s="6" t="str">
        <f t="array" ref="E16">IFERROR(IF($A$4="", "", INDEX(sheet2!$A:$G, MATCH(ROW(C13), sheet2!$H:$H, 0), COLUMN(C13))), "")</f>
        <v/>
      </c>
      <c r="F16" s="6" t="str">
        <f t="array" ref="F16">IFERROR(IF($A$4="", "", INDEX(sheet2!$A:$G, MATCH(ROW(D13), sheet2!$H:$H, 0), COLUMN(D13))), "")</f>
        <v/>
      </c>
      <c r="G16" s="6" t="str">
        <f t="array" ref="G16">IFERROR(IF($A$4="", "", INDEX(sheet2!$A:$G, MATCH(ROW(E13), sheet2!$H:$H, 0), COLUMN(E13))), "")</f>
        <v/>
      </c>
      <c r="H16" s="6" t="str">
        <f t="array" ref="H16">IFERROR(IF($A$4="", "", INDEX(sheet2!$A:$G, MATCH(ROW(F13), sheet2!$H:$H, 0), COLUMN(F13))), "")</f>
        <v/>
      </c>
      <c r="I16" s="6" t="str">
        <f t="array" ref="I16">IFERROR(IF($A$4="", "", INDEX(sheet2!$A:$G, MATCH(ROW(G13), sheet2!$H:$H, 0), COLUMN(G13))), "")</f>
        <v/>
      </c>
    </row>
    <row r="17" spans="3:9" ht="15.75" customHeight="1">
      <c r="C17" s="5" t="str">
        <f t="array" ref="C17">IFERROR(IF($A$4="", "", INDEX(sheet2!$A:$H, MATCH(ROW(A14), sheet2!$H:$H, 0), COLUMN(A14))), "")</f>
        <v/>
      </c>
      <c r="D17" s="5" t="str">
        <f t="array" ref="D17">IFERROR(IF($A$4="", "", INDEX(sheet2!$A:$G, MATCH(ROW(B14), sheet2!$H:$H, 0), COLUMN(B14))), "")</f>
        <v/>
      </c>
      <c r="E17" s="6" t="str">
        <f t="array" ref="E17">IFERROR(IF($A$4="", "", INDEX(sheet2!$A:$G, MATCH(ROW(C14), sheet2!$H:$H, 0), COLUMN(C14))), "")</f>
        <v/>
      </c>
      <c r="F17" s="6" t="str">
        <f t="array" ref="F17">IFERROR(IF($A$4="", "", INDEX(sheet2!$A:$G, MATCH(ROW(D14), sheet2!$H:$H, 0), COLUMN(D14))), "")</f>
        <v/>
      </c>
      <c r="G17" s="6" t="str">
        <f t="array" ref="G17">IFERROR(IF($A$4="", "", INDEX(sheet2!$A:$G, MATCH(ROW(E14), sheet2!$H:$H, 0), COLUMN(E14))), "")</f>
        <v/>
      </c>
      <c r="H17" s="6" t="str">
        <f t="array" ref="H17">IFERROR(IF($A$4="", "", INDEX(sheet2!$A:$G, MATCH(ROW(F14), sheet2!$H:$H, 0), COLUMN(F14))), "")</f>
        <v/>
      </c>
      <c r="I17" s="6" t="str">
        <f t="array" ref="I17">IFERROR(IF($A$4="", "", INDEX(sheet2!$A:$G, MATCH(ROW(G14), sheet2!$H:$H, 0), COLUMN(G14))), "")</f>
        <v/>
      </c>
    </row>
    <row r="18" spans="3:9" ht="15.75" customHeight="1">
      <c r="C18" s="5" t="str">
        <f t="array" ref="C18">IFERROR(IF($A$4="", "", INDEX(sheet2!$A:$H, MATCH(ROW(A15), sheet2!$H:$H, 0), COLUMN(A15))), "")</f>
        <v/>
      </c>
      <c r="D18" s="5" t="str">
        <f t="array" ref="D18">IFERROR(IF($A$4="", "", INDEX(sheet2!$A:$G, MATCH(ROW(B15), sheet2!$H:$H, 0), COLUMN(B15))), "")</f>
        <v/>
      </c>
      <c r="E18" s="6" t="str">
        <f t="array" ref="E18">IFERROR(IF($A$4="", "", INDEX(sheet2!$A:$G, MATCH(ROW(C15), sheet2!$H:$H, 0), COLUMN(C15))), "")</f>
        <v/>
      </c>
      <c r="F18" s="6" t="str">
        <f t="array" ref="F18">IFERROR(IF($A$4="", "", INDEX(sheet2!$A:$G, MATCH(ROW(D15), sheet2!$H:$H, 0), COLUMN(D15))), "")</f>
        <v/>
      </c>
      <c r="G18" s="6" t="str">
        <f t="array" ref="G18">IFERROR(IF($A$4="", "", INDEX(sheet2!$A:$G, MATCH(ROW(E15), sheet2!$H:$H, 0), COLUMN(E15))), "")</f>
        <v/>
      </c>
      <c r="H18" s="6" t="str">
        <f t="array" ref="H18">IFERROR(IF($A$4="", "", INDEX(sheet2!$A:$G, MATCH(ROW(F15), sheet2!$H:$H, 0), COLUMN(F15))), "")</f>
        <v/>
      </c>
      <c r="I18" s="6" t="str">
        <f t="array" ref="I18">IFERROR(IF($A$4="", "", INDEX(sheet2!$A:$G, MATCH(ROW(G15), sheet2!$H:$H, 0), COLUMN(G15))), "")</f>
        <v/>
      </c>
    </row>
    <row r="19" spans="3:9" ht="15.75" customHeight="1">
      <c r="C19" s="5" t="str">
        <f t="array" ref="C19">IFERROR(IF($A$4="", "", INDEX(sheet2!$A:$H, MATCH(ROW(A16), sheet2!$H:$H, 0), COLUMN(A16))), "")</f>
        <v/>
      </c>
      <c r="D19" s="5" t="str">
        <f t="array" ref="D19">IFERROR(IF($A$4="", "", INDEX(sheet2!$A:$G, MATCH(ROW(B16), sheet2!$H:$H, 0), COLUMN(B16))), "")</f>
        <v/>
      </c>
      <c r="E19" s="6" t="str">
        <f t="array" ref="E19">IFERROR(IF($A$4="", "", INDEX(sheet2!$A:$G, MATCH(ROW(C16), sheet2!$H:$H, 0), COLUMN(C16))), "")</f>
        <v/>
      </c>
      <c r="F19" s="6" t="str">
        <f t="array" ref="F19">IFERROR(IF($A$4="", "", INDEX(sheet2!$A:$G, MATCH(ROW(D16), sheet2!$H:$H, 0), COLUMN(D16))), "")</f>
        <v/>
      </c>
      <c r="G19" s="6" t="str">
        <f t="array" ref="G19">IFERROR(IF($A$4="", "", INDEX(sheet2!$A:$G, MATCH(ROW(E16), sheet2!$H:$H, 0), COLUMN(E16))), "")</f>
        <v/>
      </c>
      <c r="H19" s="6" t="str">
        <f t="array" ref="H19">IFERROR(IF($A$4="", "", INDEX(sheet2!$A:$G, MATCH(ROW(F16), sheet2!$H:$H, 0), COLUMN(F16))), "")</f>
        <v/>
      </c>
      <c r="I19" s="6" t="str">
        <f t="array" ref="I19">IFERROR(IF($A$4="", "", INDEX(sheet2!$A:$G, MATCH(ROW(G16), sheet2!$H:$H, 0), COLUMN(G16))), "")</f>
        <v/>
      </c>
    </row>
    <row r="20" spans="3:9" ht="15.75" customHeight="1">
      <c r="C20" s="5" t="str">
        <f t="array" ref="C20">IFERROR(IF($A$4="", "", INDEX(sheet2!$A:$H, MATCH(ROW(A17), sheet2!$H:$H, 0), COLUMN(A17))), "")</f>
        <v/>
      </c>
      <c r="D20" s="5" t="str">
        <f t="array" ref="D20">IFERROR(IF($A$4="", "", INDEX(sheet2!$A:$G, MATCH(ROW(B17), sheet2!$H:$H, 0), COLUMN(B17))), "")</f>
        <v/>
      </c>
      <c r="E20" s="6" t="str">
        <f t="array" ref="E20">IFERROR(IF($A$4="", "", INDEX(sheet2!$A:$G, MATCH(ROW(C17), sheet2!$H:$H, 0), COLUMN(C17))), "")</f>
        <v/>
      </c>
      <c r="F20" s="6" t="str">
        <f t="array" ref="F20">IFERROR(IF($A$4="", "", INDEX(sheet2!$A:$G, MATCH(ROW(D17), sheet2!$H:$H, 0), COLUMN(D17))), "")</f>
        <v/>
      </c>
      <c r="G20" s="6" t="str">
        <f t="array" ref="G20">IFERROR(IF($A$4="", "", INDEX(sheet2!$A:$G, MATCH(ROW(E17), sheet2!$H:$H, 0), COLUMN(E17))), "")</f>
        <v/>
      </c>
      <c r="H20" s="6" t="str">
        <f t="array" ref="H20">IFERROR(IF($A$4="", "", INDEX(sheet2!$A:$G, MATCH(ROW(F17), sheet2!$H:$H, 0), COLUMN(F17))), "")</f>
        <v/>
      </c>
      <c r="I20" s="6" t="str">
        <f t="array" ref="I20">IFERROR(IF($A$4="", "", INDEX(sheet2!$A:$G, MATCH(ROW(G17), sheet2!$H:$H, 0), COLUMN(G17))), "")</f>
        <v/>
      </c>
    </row>
    <row r="21" spans="3:9" ht="15.75" customHeight="1">
      <c r="C21" s="5" t="str">
        <f t="array" ref="C21">IFERROR(IF($A$4="", "", INDEX(sheet2!$A:$H, MATCH(ROW(A18), sheet2!$H:$H, 0), COLUMN(A18))), "")</f>
        <v/>
      </c>
      <c r="D21" s="5" t="str">
        <f t="array" ref="D21">IFERROR(IF($A$4="", "", INDEX(sheet2!$A:$G, MATCH(ROW(B18), sheet2!$H:$H, 0), COLUMN(B18))), "")</f>
        <v/>
      </c>
      <c r="E21" s="6" t="str">
        <f t="array" ref="E21">IFERROR(IF($A$4="", "", INDEX(sheet2!$A:$G, MATCH(ROW(C18), sheet2!$H:$H, 0), COLUMN(C18))), "")</f>
        <v/>
      </c>
      <c r="F21" s="6" t="str">
        <f t="array" ref="F21">IFERROR(IF($A$4="", "", INDEX(sheet2!$A:$G, MATCH(ROW(D18), sheet2!$H:$H, 0), COLUMN(D18))), "")</f>
        <v/>
      </c>
      <c r="G21" s="6" t="str">
        <f t="array" ref="G21">IFERROR(IF($A$4="", "", INDEX(sheet2!$A:$G, MATCH(ROW(E18), sheet2!$H:$H, 0), COLUMN(E18))), "")</f>
        <v/>
      </c>
      <c r="H21" s="6" t="str">
        <f t="array" ref="H21">IFERROR(IF($A$4="", "", INDEX(sheet2!$A:$G, MATCH(ROW(F18), sheet2!$H:$H, 0), COLUMN(F18))), "")</f>
        <v/>
      </c>
      <c r="I21" s="6" t="str">
        <f t="array" ref="I21">IFERROR(IF($A$4="", "", INDEX(sheet2!$A:$G, MATCH(ROW(G18), sheet2!$H:$H, 0), COLUMN(G18))), "")</f>
        <v/>
      </c>
    </row>
    <row r="22" spans="3:9" ht="12.5">
      <c r="C22" s="5" t="str">
        <f t="array" ref="C22">IFERROR(IF($A$4="", "", INDEX(sheet2!$A:$H, MATCH(ROW(A19), sheet2!$H:$H, 0), COLUMN(A19))), "")</f>
        <v/>
      </c>
      <c r="D22" s="5" t="str">
        <f t="array" ref="D22">IFERROR(IF($A$4="", "", INDEX(sheet2!$A:$G, MATCH(ROW(B19), sheet2!$H:$H, 0), COLUMN(B19))), "")</f>
        <v/>
      </c>
      <c r="E22" s="6" t="str">
        <f t="array" ref="E22">IFERROR(IF($A$4="", "", INDEX(sheet2!$A:$G, MATCH(ROW(C19), sheet2!$H:$H, 0), COLUMN(C19))), "")</f>
        <v/>
      </c>
      <c r="F22" s="6" t="str">
        <f t="array" ref="F22">IFERROR(IF($A$4="", "", INDEX(sheet2!$A:$G, MATCH(ROW(D19), sheet2!$H:$H, 0), COLUMN(D19))), "")</f>
        <v/>
      </c>
      <c r="G22" s="6" t="str">
        <f t="array" ref="G22">IFERROR(IF($A$4="", "", INDEX(sheet2!$A:$G, MATCH(ROW(E19), sheet2!$H:$H, 0), COLUMN(E19))), "")</f>
        <v/>
      </c>
      <c r="H22" s="6" t="str">
        <f t="array" ref="H22">IFERROR(IF($A$4="", "", INDEX(sheet2!$A:$G, MATCH(ROW(F19), sheet2!$H:$H, 0), COLUMN(F19))), "")</f>
        <v/>
      </c>
      <c r="I22" s="6" t="str">
        <f t="array" ref="I22">IFERROR(IF($A$4="", "", INDEX(sheet2!$A:$G, MATCH(ROW(G19), sheet2!$H:$H, 0), COLUMN(G19))), "")</f>
        <v/>
      </c>
    </row>
    <row r="23" spans="3:9" ht="12.5">
      <c r="C23" s="5" t="str">
        <f t="array" ref="C23">IFERROR(IF($A$4="", "", INDEX(sheet2!$A:$H, MATCH(ROW(A20), sheet2!$H:$H, 0), COLUMN(A20))), "")</f>
        <v/>
      </c>
      <c r="D23" s="5" t="str">
        <f t="array" ref="D23">IFERROR(IF($A$4="", "", INDEX(sheet2!$A:$G, MATCH(ROW(B20), sheet2!$H:$H, 0), COLUMN(B20))), "")</f>
        <v/>
      </c>
      <c r="E23" s="6" t="str">
        <f t="array" ref="E23">IFERROR(IF($A$4="", "", INDEX(sheet2!$A:$G, MATCH(ROW(C20), sheet2!$H:$H, 0), COLUMN(C20))), "")</f>
        <v/>
      </c>
      <c r="F23" s="6" t="str">
        <f t="array" ref="F23">IFERROR(IF($A$4="", "", INDEX(sheet2!$A:$G, MATCH(ROW(D20), sheet2!$H:$H, 0), COLUMN(D20))), "")</f>
        <v/>
      </c>
      <c r="G23" s="6" t="str">
        <f t="array" ref="G23">IFERROR(IF($A$4="", "", INDEX(sheet2!$A:$G, MATCH(ROW(E20), sheet2!$H:$H, 0), COLUMN(E20))), "")</f>
        <v/>
      </c>
      <c r="H23" s="6" t="str">
        <f t="array" ref="H23">IFERROR(IF($A$4="", "", INDEX(sheet2!$A:$G, MATCH(ROW(F20), sheet2!$H:$H, 0), COLUMN(F20))), "")</f>
        <v/>
      </c>
      <c r="I23" s="6" t="str">
        <f t="array" ref="I23">IFERROR(IF($A$4="", "", INDEX(sheet2!$A:$G, MATCH(ROW(G20), sheet2!$H:$H, 0), COLUMN(G20))), "")</f>
        <v/>
      </c>
    </row>
    <row r="24" spans="3:9" ht="12.5">
      <c r="C24" s="5" t="str">
        <f t="array" ref="C24">IFERROR(IF($A$4="", "", INDEX(sheet2!$A:$H, MATCH(ROW(A21), sheet2!$H:$H, 0), COLUMN(A21))), "")</f>
        <v/>
      </c>
      <c r="D24" s="5" t="str">
        <f t="array" ref="D24">IFERROR(IF($A$4="", "", INDEX(sheet2!$A:$G, MATCH(ROW(B21), sheet2!$H:$H, 0), COLUMN(B21))), "")</f>
        <v/>
      </c>
      <c r="E24" s="6" t="str">
        <f t="array" ref="E24">IFERROR(IF($A$4="", "", INDEX(sheet2!$A:$G, MATCH(ROW(C21), sheet2!$H:$H, 0), COLUMN(C21))), "")</f>
        <v/>
      </c>
      <c r="F24" s="6" t="str">
        <f t="array" ref="F24">IFERROR(IF($A$4="", "", INDEX(sheet2!$A:$G, MATCH(ROW(D21), sheet2!$H:$H, 0), COLUMN(D21))), "")</f>
        <v/>
      </c>
      <c r="G24" s="6" t="str">
        <f t="array" ref="G24">IFERROR(IF($A$4="", "", INDEX(sheet2!$A:$G, MATCH(ROW(E21), sheet2!$H:$H, 0), COLUMN(E21))), "")</f>
        <v/>
      </c>
      <c r="H24" s="6" t="str">
        <f t="array" ref="H24">IFERROR(IF($A$4="", "", INDEX(sheet2!$A:$G, MATCH(ROW(F21), sheet2!$H:$H, 0), COLUMN(F21))), "")</f>
        <v/>
      </c>
      <c r="I24" s="6" t="str">
        <f t="array" ref="I24">IFERROR(IF($A$4="", "", INDEX(sheet2!$A:$G, MATCH(ROW(G21), sheet2!$H:$H, 0), COLUMN(G21))), "")</f>
        <v/>
      </c>
    </row>
    <row r="25" spans="3:9" ht="12.5">
      <c r="C25" s="5" t="str">
        <f t="array" ref="C25">IFERROR(IF($A$4="", "", INDEX(sheet2!$A:$H, MATCH(ROW(A22), sheet2!$H:$H, 0), COLUMN(A22))), "")</f>
        <v/>
      </c>
      <c r="D25" s="5" t="str">
        <f t="array" ref="D25">IFERROR(IF($A$4="", "", INDEX(sheet2!$A:$G, MATCH(ROW(B22), sheet2!$H:$H, 0), COLUMN(B22))), "")</f>
        <v/>
      </c>
      <c r="E25" s="6" t="str">
        <f t="array" ref="E25">IFERROR(IF($A$4="", "", INDEX(sheet2!$A:$G, MATCH(ROW(C22), sheet2!$H:$H, 0), COLUMN(C22))), "")</f>
        <v/>
      </c>
      <c r="F25" s="6" t="str">
        <f t="array" ref="F25">IFERROR(IF($A$4="", "", INDEX(sheet2!$A:$G, MATCH(ROW(D22), sheet2!$H:$H, 0), COLUMN(D22))), "")</f>
        <v/>
      </c>
      <c r="G25" s="6" t="str">
        <f t="array" ref="G25">IFERROR(IF($A$4="", "", INDEX(sheet2!$A:$G, MATCH(ROW(E22), sheet2!$H:$H, 0), COLUMN(E22))), "")</f>
        <v/>
      </c>
      <c r="H25" s="6" t="str">
        <f t="array" ref="H25">IFERROR(IF($A$4="", "", INDEX(sheet2!$A:$G, MATCH(ROW(F22), sheet2!$H:$H, 0), COLUMN(F22))), "")</f>
        <v/>
      </c>
      <c r="I25" s="6" t="str">
        <f t="array" ref="I25">IFERROR(IF($A$4="", "", INDEX(sheet2!$A:$G, MATCH(ROW(G22), sheet2!$H:$H, 0), COLUMN(G22))), "")</f>
        <v/>
      </c>
    </row>
    <row r="26" spans="3:9" ht="12.5">
      <c r="C26" s="5" t="str">
        <f t="array" ref="C26">IFERROR(IF($A$4="", "", INDEX(sheet2!$A:$H, MATCH(ROW(A23), sheet2!$H:$H, 0), COLUMN(A23))), "")</f>
        <v/>
      </c>
      <c r="D26" s="5" t="str">
        <f t="array" ref="D26">IFERROR(IF($A$4="", "", INDEX(sheet2!$A:$G, MATCH(ROW(B23), sheet2!$H:$H, 0), COLUMN(B23))), "")</f>
        <v/>
      </c>
      <c r="E26" s="6" t="str">
        <f t="array" ref="E26">IFERROR(IF($A$4="", "", INDEX(sheet2!$A:$G, MATCH(ROW(C23), sheet2!$H:$H, 0), COLUMN(C23))), "")</f>
        <v/>
      </c>
      <c r="F26" s="6" t="str">
        <f t="array" ref="F26">IFERROR(IF($A$4="", "", INDEX(sheet2!$A:$G, MATCH(ROW(D23), sheet2!$H:$H, 0), COLUMN(D23))), "")</f>
        <v/>
      </c>
      <c r="G26" s="6" t="str">
        <f t="array" ref="G26">IFERROR(IF($A$4="", "", INDEX(sheet2!$A:$G, MATCH(ROW(E23), sheet2!$H:$H, 0), COLUMN(E23))), "")</f>
        <v/>
      </c>
      <c r="H26" s="6" t="str">
        <f t="array" ref="H26">IFERROR(IF($A$4="", "", INDEX(sheet2!$A:$G, MATCH(ROW(F23), sheet2!$H:$H, 0), COLUMN(F23))), "")</f>
        <v/>
      </c>
      <c r="I26" s="6" t="str">
        <f t="array" ref="I26">IFERROR(IF($A$4="", "", INDEX(sheet2!$A:$G, MATCH(ROW(G23), sheet2!$H:$H, 0), COLUMN(G23))), "")</f>
        <v/>
      </c>
    </row>
    <row r="27" spans="3:9" ht="12.5">
      <c r="C27" s="5" t="str">
        <f t="array" ref="C27">IFERROR(IF($A$4="", "", INDEX(sheet2!$A:$H, MATCH(ROW(A24), sheet2!$H:$H, 0), COLUMN(A24))), "")</f>
        <v/>
      </c>
      <c r="D27" s="5" t="str">
        <f t="array" ref="D27">IFERROR(IF($A$4="", "", INDEX(sheet2!$A:$G, MATCH(ROW(B24), sheet2!$H:$H, 0), COLUMN(B24))), "")</f>
        <v/>
      </c>
      <c r="E27" s="6" t="str">
        <f t="array" ref="E27">IFERROR(IF($A$4="", "", INDEX(sheet2!$A:$G, MATCH(ROW(C24), sheet2!$H:$H, 0), COLUMN(C24))), "")</f>
        <v/>
      </c>
      <c r="F27" s="6" t="str">
        <f t="array" ref="F27">IFERROR(IF($A$4="", "", INDEX(sheet2!$A:$G, MATCH(ROW(D24), sheet2!$H:$H, 0), COLUMN(D24))), "")</f>
        <v/>
      </c>
      <c r="G27" s="6" t="str">
        <f t="array" ref="G27">IFERROR(IF($A$4="", "", INDEX(sheet2!$A:$G, MATCH(ROW(E24), sheet2!$H:$H, 0), COLUMN(E24))), "")</f>
        <v/>
      </c>
      <c r="H27" s="6" t="str">
        <f t="array" ref="H27">IFERROR(IF($A$4="", "", INDEX(sheet2!$A:$G, MATCH(ROW(F24), sheet2!$H:$H, 0), COLUMN(F24))), "")</f>
        <v/>
      </c>
      <c r="I27" s="6" t="str">
        <f t="array" ref="I27">IFERROR(IF($A$4="", "", INDEX(sheet2!$A:$G, MATCH(ROW(G24), sheet2!$H:$H, 0), COLUMN(G24))), "")</f>
        <v/>
      </c>
    </row>
    <row r="28" spans="3:9" ht="12.5">
      <c r="C28" s="5" t="str">
        <f t="array" ref="C28">IFERROR(IF($A$4="", "", INDEX(sheet2!$A:$H, MATCH(ROW(A25), sheet2!$H:$H, 0), COLUMN(A25))), "")</f>
        <v/>
      </c>
      <c r="D28" s="5" t="str">
        <f t="array" ref="D28">IFERROR(IF($A$4="", "", INDEX(sheet2!$A:$G, MATCH(ROW(B25), sheet2!$H:$H, 0), COLUMN(B25))), "")</f>
        <v/>
      </c>
      <c r="E28" s="6" t="str">
        <f t="array" ref="E28">IFERROR(IF($A$4="", "", INDEX(sheet2!$A:$G, MATCH(ROW(C25), sheet2!$H:$H, 0), COLUMN(C25))), "")</f>
        <v/>
      </c>
      <c r="F28" s="6" t="str">
        <f t="array" ref="F28">IFERROR(IF($A$4="", "", INDEX(sheet2!$A:$G, MATCH(ROW(D25), sheet2!$H:$H, 0), COLUMN(D25))), "")</f>
        <v/>
      </c>
      <c r="G28" s="6" t="str">
        <f t="array" ref="G28">IFERROR(IF($A$4="", "", INDEX(sheet2!$A:$G, MATCH(ROW(E25), sheet2!$H:$H, 0), COLUMN(E25))), "")</f>
        <v/>
      </c>
      <c r="H28" s="6" t="str">
        <f t="array" ref="H28">IFERROR(IF($A$4="", "", INDEX(sheet2!$A:$G, MATCH(ROW(F25), sheet2!$H:$H, 0), COLUMN(F25))), "")</f>
        <v/>
      </c>
      <c r="I28" s="6" t="str">
        <f t="array" ref="I28">IFERROR(IF($A$4="", "", INDEX(sheet2!$A:$G, MATCH(ROW(G25), sheet2!$H:$H, 0), COLUMN(G25))), "")</f>
        <v/>
      </c>
    </row>
    <row r="29" spans="3:9" ht="12.5">
      <c r="C29" s="5" t="str">
        <f t="array" ref="C29">IFERROR(IF($A$4="", "", INDEX(sheet2!$A:$H, MATCH(ROW(A26), sheet2!$H:$H, 0), COLUMN(A26))), "")</f>
        <v/>
      </c>
      <c r="D29" s="5" t="str">
        <f t="array" ref="D29">IFERROR(IF($A$4="", "", INDEX(sheet2!$A:$G, MATCH(ROW(B26), sheet2!$H:$H, 0), COLUMN(B26))), "")</f>
        <v/>
      </c>
      <c r="E29" s="6" t="str">
        <f t="array" ref="E29">IFERROR(IF($A$4="", "", INDEX(sheet2!$A:$G, MATCH(ROW(C26), sheet2!$H:$H, 0), COLUMN(C26))), "")</f>
        <v/>
      </c>
      <c r="F29" s="6" t="str">
        <f t="array" ref="F29">IFERROR(IF($A$4="", "", INDEX(sheet2!$A:$G, MATCH(ROW(D26), sheet2!$H:$H, 0), COLUMN(D26))), "")</f>
        <v/>
      </c>
      <c r="G29" s="6" t="str">
        <f t="array" ref="G29">IFERROR(IF($A$4="", "", INDEX(sheet2!$A:$G, MATCH(ROW(E26), sheet2!$H:$H, 0), COLUMN(E26))), "")</f>
        <v/>
      </c>
      <c r="H29" s="6" t="str">
        <f t="array" ref="H29">IFERROR(IF($A$4="", "", INDEX(sheet2!$A:$G, MATCH(ROW(F26), sheet2!$H:$H, 0), COLUMN(F26))), "")</f>
        <v/>
      </c>
      <c r="I29" s="6" t="str">
        <f t="array" ref="I29">IFERROR(IF($A$4="", "", INDEX(sheet2!$A:$G, MATCH(ROW(G26), sheet2!$H:$H, 0), COLUMN(G26))), "")</f>
        <v/>
      </c>
    </row>
    <row r="30" spans="3:9" ht="12.5">
      <c r="C30" s="5" t="str">
        <f t="array" ref="C30">IFERROR(IF($A$4="", "", INDEX(sheet2!$A:$H, MATCH(ROW(A27), sheet2!$H:$H, 0), COLUMN(A27))), "")</f>
        <v/>
      </c>
      <c r="D30" s="5" t="str">
        <f t="array" ref="D30">IFERROR(IF($A$4="", "", INDEX(sheet2!$A:$G, MATCH(ROW(B27), sheet2!$H:$H, 0), COLUMN(B27))), "")</f>
        <v/>
      </c>
      <c r="E30" s="6" t="str">
        <f t="array" ref="E30">IFERROR(IF($A$4="", "", INDEX(sheet2!$A:$G, MATCH(ROW(C27), sheet2!$H:$H, 0), COLUMN(C27))), "")</f>
        <v/>
      </c>
      <c r="F30" s="6" t="str">
        <f t="array" ref="F30">IFERROR(IF($A$4="", "", INDEX(sheet2!$A:$G, MATCH(ROW(D27), sheet2!$H:$H, 0), COLUMN(D27))), "")</f>
        <v/>
      </c>
      <c r="G30" s="6" t="str">
        <f t="array" ref="G30">IFERROR(IF($A$4="", "", INDEX(sheet2!$A:$G, MATCH(ROW(E27), sheet2!$H:$H, 0), COLUMN(E27))), "")</f>
        <v/>
      </c>
      <c r="H30" s="6" t="str">
        <f t="array" ref="H30">IFERROR(IF($A$4="", "", INDEX(sheet2!$A:$G, MATCH(ROW(F27), sheet2!$H:$H, 0), COLUMN(F27))), "")</f>
        <v/>
      </c>
      <c r="I30" s="6" t="str">
        <f t="array" ref="I30">IFERROR(IF($A$4="", "", INDEX(sheet2!$A:$G, MATCH(ROW(G27), sheet2!$H:$H, 0), COLUMN(G27))), "")</f>
        <v/>
      </c>
    </row>
  </sheetData>
  <phoneticPr fontId="1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26"/>
  <sheetViews>
    <sheetView workbookViewId="0">
      <pane ySplit="1" topLeftCell="A2" activePane="bottomLeft" state="frozen"/>
      <selection pane="bottomLeft" activeCell="B3" sqref="B3"/>
    </sheetView>
  </sheetViews>
  <sheetFormatPr defaultColWidth="12.6328125" defaultRowHeight="15.75" customHeight="1"/>
  <cols>
    <col min="1" max="1" width="7.36328125" customWidth="1"/>
    <col min="2" max="2" width="6.90625" customWidth="1"/>
    <col min="3" max="3" width="56.36328125" customWidth="1"/>
    <col min="4" max="4" width="36.26953125" customWidth="1"/>
    <col min="5" max="5" width="29.08984375" customWidth="1"/>
    <col min="6" max="6" width="8.7265625" customWidth="1"/>
  </cols>
  <sheetData>
    <row r="1" spans="1:8" ht="15.75" customHeight="1">
      <c r="A1" s="2" t="s">
        <v>2</v>
      </c>
      <c r="B1" s="2" t="s">
        <v>3</v>
      </c>
      <c r="C1" s="7" t="s">
        <v>4</v>
      </c>
      <c r="D1" s="7" t="s">
        <v>5</v>
      </c>
      <c r="E1" s="7" t="s">
        <v>6</v>
      </c>
      <c r="F1" s="7" t="s">
        <v>7</v>
      </c>
      <c r="G1" s="7" t="s">
        <v>8</v>
      </c>
      <c r="H1" s="7" t="s">
        <v>9</v>
      </c>
    </row>
    <row r="2" spans="1:8" ht="15.75" customHeight="1">
      <c r="A2" s="5" t="s">
        <v>10</v>
      </c>
      <c r="B2" s="5">
        <v>1</v>
      </c>
      <c r="C2" s="7" t="s">
        <v>11</v>
      </c>
      <c r="D2" s="7" t="s">
        <v>12</v>
      </c>
      <c r="E2" s="7" t="s">
        <v>13</v>
      </c>
      <c r="F2" s="7">
        <v>1969</v>
      </c>
      <c r="H2" s="7" t="str">
        <f>IF(OR(A2="", sheet1!A$4=""), "", IF(SUM(COUNTIF(A2, "*"&amp;sheet1!A$4&amp;"*"), COUNTIF(B2, "*"&amp;sheet1!A$4&amp;"*"), COUNTIF(C2, "*"&amp;sheet1!A$4&amp;"*"), COUNTIF(D2, "*"&amp;sheet1!A$4&amp;"*"), COUNTIF(E2, "*"&amp;sheet1!A$4&amp;"*"), COUNTIF(F2, "*"&amp;sheet1!A$4&amp;"*"), COUNTIF(G2, "*"&amp;sheet1!A$4&amp;"*")) &gt; 0, MAX(H$1:H1)+1, ""))</f>
        <v/>
      </c>
    </row>
    <row r="3" spans="1:8" ht="15.75" customHeight="1">
      <c r="A3" s="5" t="s">
        <v>10</v>
      </c>
      <c r="B3" s="5">
        <v>1</v>
      </c>
      <c r="C3" s="7" t="s">
        <v>14</v>
      </c>
      <c r="D3" s="7" t="s">
        <v>15</v>
      </c>
      <c r="E3" s="7" t="s">
        <v>16</v>
      </c>
      <c r="F3" s="7">
        <v>2004</v>
      </c>
      <c r="H3" s="7" t="str">
        <f>IF(OR(A3="", sheet1!A$4=""), "", IF(SUM(COUNTIF(A3, "*"&amp;sheet1!A$4&amp;"*"), COUNTIF(B3, "*"&amp;sheet1!A$4&amp;"*"), COUNTIF(C3, "*"&amp;sheet1!A$4&amp;"*"), COUNTIF(D3, "*"&amp;sheet1!A$4&amp;"*"), COUNTIF(E3, "*"&amp;sheet1!A$4&amp;"*"), COUNTIF(F3, "*"&amp;sheet1!A$4&amp;"*"), COUNTIF(G3, "*"&amp;sheet1!A$4&amp;"*")) &gt; 0, MAX(H$1:H2)+1, ""))</f>
        <v/>
      </c>
    </row>
    <row r="4" spans="1:8" ht="15.75" customHeight="1">
      <c r="A4" s="5" t="s">
        <v>10</v>
      </c>
      <c r="B4" s="5">
        <v>1</v>
      </c>
      <c r="C4" s="7" t="s">
        <v>17</v>
      </c>
      <c r="E4" s="7" t="s">
        <v>18</v>
      </c>
      <c r="F4" s="7">
        <v>1975</v>
      </c>
      <c r="H4" s="7" t="str">
        <f>IF(OR(A4="", sheet1!A$4=""), "", IF(SUM(COUNTIF(A4, "*"&amp;sheet1!A$4&amp;"*"), COUNTIF(B4, "*"&amp;sheet1!A$4&amp;"*"), COUNTIF(C4, "*"&amp;sheet1!A$4&amp;"*"), COUNTIF(D4, "*"&amp;sheet1!A$4&amp;"*"), COUNTIF(E4, "*"&amp;sheet1!A$4&amp;"*"), COUNTIF(F4, "*"&amp;sheet1!A$4&amp;"*"), COUNTIF(G4, "*"&amp;sheet1!A$4&amp;"*")) &gt; 0, MAX(H$1:H3)+1, ""))</f>
        <v/>
      </c>
    </row>
    <row r="5" spans="1:8" ht="15.75" customHeight="1">
      <c r="A5" s="5" t="s">
        <v>10</v>
      </c>
      <c r="B5" s="5">
        <v>1</v>
      </c>
      <c r="C5" s="7" t="s">
        <v>19</v>
      </c>
      <c r="D5" s="7" t="s">
        <v>20</v>
      </c>
      <c r="E5" s="7" t="s">
        <v>21</v>
      </c>
      <c r="F5" s="7">
        <v>1982</v>
      </c>
      <c r="H5" s="7" t="str">
        <f>IF(OR(A5="", sheet1!A$4=""), "", IF(SUM(COUNTIF(A5, "*"&amp;sheet1!A$4&amp;"*"), COUNTIF(B5, "*"&amp;sheet1!A$4&amp;"*"), COUNTIF(C5, "*"&amp;sheet1!A$4&amp;"*"), COUNTIF(D5, "*"&amp;sheet1!A$4&amp;"*"), COUNTIF(E5, "*"&amp;sheet1!A$4&amp;"*"), COUNTIF(F5, "*"&amp;sheet1!A$4&amp;"*"), COUNTIF(G5, "*"&amp;sheet1!A$4&amp;"*")) &gt; 0, MAX(H$1:H4)+1, ""))</f>
        <v/>
      </c>
    </row>
    <row r="6" spans="1:8" ht="15.75" customHeight="1">
      <c r="A6" s="5" t="s">
        <v>10</v>
      </c>
      <c r="B6" s="5">
        <v>1</v>
      </c>
      <c r="C6" s="7" t="s">
        <v>22</v>
      </c>
      <c r="D6" s="7" t="s">
        <v>23</v>
      </c>
      <c r="E6" s="7" t="s">
        <v>16</v>
      </c>
      <c r="F6" s="7">
        <v>1982</v>
      </c>
      <c r="H6" s="7" t="str">
        <f>IF(OR(A6="", sheet1!A$4=""), "", IF(SUM(COUNTIF(A6, "*"&amp;sheet1!A$4&amp;"*"), COUNTIF(B6, "*"&amp;sheet1!A$4&amp;"*"), COUNTIF(C6, "*"&amp;sheet1!A$4&amp;"*"), COUNTIF(D6, "*"&amp;sheet1!A$4&amp;"*"), COUNTIF(E6, "*"&amp;sheet1!A$4&amp;"*"), COUNTIF(F6, "*"&amp;sheet1!A$4&amp;"*"), COUNTIF(G6, "*"&amp;sheet1!A$4&amp;"*")) &gt; 0, MAX(H$1:H5)+1, ""))</f>
        <v/>
      </c>
    </row>
    <row r="7" spans="1:8" ht="15.75" customHeight="1">
      <c r="A7" s="5" t="s">
        <v>10</v>
      </c>
      <c r="B7" s="5">
        <v>1</v>
      </c>
      <c r="C7" s="7" t="s">
        <v>24</v>
      </c>
      <c r="D7" s="7" t="s">
        <v>25</v>
      </c>
      <c r="E7" s="7" t="s">
        <v>26</v>
      </c>
      <c r="F7" s="7">
        <v>1982</v>
      </c>
      <c r="H7" s="7" t="str">
        <f>IF(OR(A7="", sheet1!A$4=""), "", IF(SUM(COUNTIF(A7, "*"&amp;sheet1!A$4&amp;"*"), COUNTIF(B7, "*"&amp;sheet1!A$4&amp;"*"), COUNTIF(C7, "*"&amp;sheet1!A$4&amp;"*"), COUNTIF(D7, "*"&amp;sheet1!A$4&amp;"*"), COUNTIF(E7, "*"&amp;sheet1!A$4&amp;"*"), COUNTIF(F7, "*"&amp;sheet1!A$4&amp;"*"), COUNTIF(G7, "*"&amp;sheet1!A$4&amp;"*")) &gt; 0, MAX(H$1:H6)+1, ""))</f>
        <v/>
      </c>
    </row>
    <row r="8" spans="1:8" ht="15.75" customHeight="1">
      <c r="A8" s="5" t="s">
        <v>10</v>
      </c>
      <c r="B8" s="5">
        <v>1</v>
      </c>
      <c r="C8" s="7" t="s">
        <v>27</v>
      </c>
      <c r="D8" s="7" t="s">
        <v>28</v>
      </c>
      <c r="E8" s="7" t="s">
        <v>29</v>
      </c>
      <c r="F8" s="7">
        <v>1984</v>
      </c>
      <c r="H8" s="7" t="str">
        <f>IF(OR(A8="", sheet1!A$4=""), "", IF(SUM(COUNTIF(A8, "*"&amp;sheet1!A$4&amp;"*"), COUNTIF(B8, "*"&amp;sheet1!A$4&amp;"*"), COUNTIF(C8, "*"&amp;sheet1!A$4&amp;"*"), COUNTIF(D8, "*"&amp;sheet1!A$4&amp;"*"), COUNTIF(E8, "*"&amp;sheet1!A$4&amp;"*"), COUNTIF(F8, "*"&amp;sheet1!A$4&amp;"*"), COUNTIF(G8, "*"&amp;sheet1!A$4&amp;"*")) &gt; 0, MAX(H$1:H7)+1, ""))</f>
        <v/>
      </c>
    </row>
    <row r="9" spans="1:8" ht="15.75" customHeight="1">
      <c r="A9" s="5" t="s">
        <v>10</v>
      </c>
      <c r="B9" s="5">
        <v>1</v>
      </c>
      <c r="C9" s="7" t="s">
        <v>30</v>
      </c>
      <c r="D9" s="7" t="s">
        <v>28</v>
      </c>
      <c r="E9" s="7" t="s">
        <v>29</v>
      </c>
      <c r="F9" s="7">
        <v>1984</v>
      </c>
      <c r="H9" s="7" t="str">
        <f>IF(OR(A9="", sheet1!A$4=""), "", IF(SUM(COUNTIF(A9, "*"&amp;sheet1!A$4&amp;"*"), COUNTIF(B9, "*"&amp;sheet1!A$4&amp;"*"), COUNTIF(C9, "*"&amp;sheet1!A$4&amp;"*"), COUNTIF(D9, "*"&amp;sheet1!A$4&amp;"*"), COUNTIF(E9, "*"&amp;sheet1!A$4&amp;"*"), COUNTIF(F9, "*"&amp;sheet1!A$4&amp;"*"), COUNTIF(G9, "*"&amp;sheet1!A$4&amp;"*")) &gt; 0, MAX(H$1:H8)+1, ""))</f>
        <v/>
      </c>
    </row>
    <row r="10" spans="1:8" ht="15.75" customHeight="1">
      <c r="A10" s="5" t="s">
        <v>10</v>
      </c>
      <c r="B10" s="5">
        <v>1</v>
      </c>
      <c r="C10" s="7" t="s">
        <v>31</v>
      </c>
      <c r="D10" s="7" t="s">
        <v>32</v>
      </c>
      <c r="E10" s="7" t="s">
        <v>33</v>
      </c>
      <c r="F10" s="7">
        <v>1975</v>
      </c>
      <c r="H10" s="7" t="str">
        <f>IF(OR(A10="", sheet1!A$4=""), "", IF(SUM(COUNTIF(A10, "*"&amp;sheet1!A$4&amp;"*"), COUNTIF(B10, "*"&amp;sheet1!A$4&amp;"*"), COUNTIF(C10, "*"&amp;sheet1!A$4&amp;"*"), COUNTIF(D10, "*"&amp;sheet1!A$4&amp;"*"), COUNTIF(E10, "*"&amp;sheet1!A$4&amp;"*"), COUNTIF(F10, "*"&amp;sheet1!A$4&amp;"*"), COUNTIF(G10, "*"&amp;sheet1!A$4&amp;"*")) &gt; 0, MAX(H$1:H9)+1, ""))</f>
        <v/>
      </c>
    </row>
    <row r="11" spans="1:8" ht="15.75" customHeight="1">
      <c r="A11" s="5" t="s">
        <v>10</v>
      </c>
      <c r="B11" s="5">
        <v>1</v>
      </c>
      <c r="C11" s="7" t="s">
        <v>34</v>
      </c>
      <c r="D11" s="7" t="s">
        <v>28</v>
      </c>
      <c r="E11" s="7" t="s">
        <v>35</v>
      </c>
      <c r="F11" s="7">
        <v>1965</v>
      </c>
      <c r="H11" s="7" t="str">
        <f>IF(OR(A11="", sheet1!A$4=""), "", IF(SUM(COUNTIF(A11, "*"&amp;sheet1!A$4&amp;"*"), COUNTIF(B11, "*"&amp;sheet1!A$4&amp;"*"), COUNTIF(C11, "*"&amp;sheet1!A$4&amp;"*"), COUNTIF(D11, "*"&amp;sheet1!A$4&amp;"*"), COUNTIF(E11, "*"&amp;sheet1!A$4&amp;"*"), COUNTIF(F11, "*"&amp;sheet1!A$4&amp;"*"), COUNTIF(G11, "*"&amp;sheet1!A$4&amp;"*")) &gt; 0, MAX(H$1:H10)+1, ""))</f>
        <v/>
      </c>
    </row>
    <row r="12" spans="1:8" ht="15.75" customHeight="1">
      <c r="A12" s="5" t="s">
        <v>10</v>
      </c>
      <c r="B12" s="5">
        <v>1</v>
      </c>
      <c r="C12" s="7" t="s">
        <v>36</v>
      </c>
      <c r="D12" s="7" t="s">
        <v>28</v>
      </c>
      <c r="E12" s="7" t="s">
        <v>29</v>
      </c>
      <c r="F12" s="7">
        <v>1983</v>
      </c>
      <c r="H12" s="7" t="str">
        <f>IF(OR(A12="", sheet1!A$4=""), "", IF(SUM(COUNTIF(A12, "*"&amp;sheet1!A$4&amp;"*"), COUNTIF(B12, "*"&amp;sheet1!A$4&amp;"*"), COUNTIF(C12, "*"&amp;sheet1!A$4&amp;"*"), COUNTIF(D12, "*"&amp;sheet1!A$4&amp;"*"), COUNTIF(E12, "*"&amp;sheet1!A$4&amp;"*"), COUNTIF(F12, "*"&amp;sheet1!A$4&amp;"*"), COUNTIF(G12, "*"&amp;sheet1!A$4&amp;"*")) &gt; 0, MAX(H$1:H11)+1, ""))</f>
        <v/>
      </c>
    </row>
    <row r="13" spans="1:8" ht="15.75" customHeight="1">
      <c r="A13" s="5" t="s">
        <v>10</v>
      </c>
      <c r="B13" s="5">
        <v>1</v>
      </c>
      <c r="C13" s="7" t="s">
        <v>37</v>
      </c>
      <c r="D13" s="7" t="s">
        <v>28</v>
      </c>
      <c r="E13" s="7" t="s">
        <v>38</v>
      </c>
      <c r="F13" s="7">
        <v>1977</v>
      </c>
      <c r="H13" s="7" t="str">
        <f>IF(OR(A13="", sheet1!A$4=""), "", IF(SUM(COUNTIF(A13, "*"&amp;sheet1!A$4&amp;"*"), COUNTIF(B13, "*"&amp;sheet1!A$4&amp;"*"), COUNTIF(C13, "*"&amp;sheet1!A$4&amp;"*"), COUNTIF(D13, "*"&amp;sheet1!A$4&amp;"*"), COUNTIF(E13, "*"&amp;sheet1!A$4&amp;"*"), COUNTIF(F13, "*"&amp;sheet1!A$4&amp;"*"), COUNTIF(G13, "*"&amp;sheet1!A$4&amp;"*")) &gt; 0, MAX(H$1:H12)+1, ""))</f>
        <v/>
      </c>
    </row>
    <row r="14" spans="1:8" ht="15.75" customHeight="1">
      <c r="A14" s="5" t="s">
        <v>10</v>
      </c>
      <c r="B14" s="5">
        <v>1</v>
      </c>
      <c r="C14" s="7" t="s">
        <v>39</v>
      </c>
      <c r="D14" s="7" t="s">
        <v>32</v>
      </c>
      <c r="E14" s="7" t="s">
        <v>40</v>
      </c>
      <c r="F14" s="7">
        <v>1988</v>
      </c>
      <c r="H14" s="7" t="str">
        <f>IF(OR(A14="", sheet1!A$4=""), "", IF(SUM(COUNTIF(A14, "*"&amp;sheet1!A$4&amp;"*"), COUNTIF(B14, "*"&amp;sheet1!A$4&amp;"*"), COUNTIF(C14, "*"&amp;sheet1!A$4&amp;"*"), COUNTIF(D14, "*"&amp;sheet1!A$4&amp;"*"), COUNTIF(E14, "*"&amp;sheet1!A$4&amp;"*"), COUNTIF(F14, "*"&amp;sheet1!A$4&amp;"*"), COUNTIF(G14, "*"&amp;sheet1!A$4&amp;"*")) &gt; 0, MAX(H$1:H13)+1, ""))</f>
        <v/>
      </c>
    </row>
    <row r="15" spans="1:8" ht="15.75" customHeight="1">
      <c r="A15" s="5" t="s">
        <v>10</v>
      </c>
      <c r="B15" s="5">
        <v>1</v>
      </c>
      <c r="C15" s="7" t="s">
        <v>41</v>
      </c>
      <c r="D15" s="7" t="s">
        <v>42</v>
      </c>
      <c r="E15" s="7" t="s">
        <v>38</v>
      </c>
      <c r="F15" s="7">
        <v>1979</v>
      </c>
      <c r="H15" s="7" t="str">
        <f>IF(OR(A15="", sheet1!A$4=""), "", IF(SUM(COUNTIF(A15, "*"&amp;sheet1!A$4&amp;"*"), COUNTIF(B15, "*"&amp;sheet1!A$4&amp;"*"), COUNTIF(C15, "*"&amp;sheet1!A$4&amp;"*"), COUNTIF(D15, "*"&amp;sheet1!A$4&amp;"*"), COUNTIF(E15, "*"&amp;sheet1!A$4&amp;"*"), COUNTIF(F15, "*"&amp;sheet1!A$4&amp;"*"), COUNTIF(G15, "*"&amp;sheet1!A$4&amp;"*")) &gt; 0, MAX(H$1:H14)+1, ""))</f>
        <v/>
      </c>
    </row>
    <row r="16" spans="1:8" ht="15.75" customHeight="1">
      <c r="A16" s="5" t="s">
        <v>10</v>
      </c>
      <c r="B16" s="5">
        <v>1</v>
      </c>
      <c r="C16" s="7" t="s">
        <v>43</v>
      </c>
      <c r="D16" s="7" t="s">
        <v>44</v>
      </c>
      <c r="E16" s="7" t="s">
        <v>45</v>
      </c>
      <c r="F16" s="7">
        <v>1975</v>
      </c>
      <c r="H16" s="7" t="str">
        <f>IF(OR(A16="", sheet1!A$4=""), "", IF(SUM(COUNTIF(A16, "*"&amp;sheet1!A$4&amp;"*"), COUNTIF(B16, "*"&amp;sheet1!A$4&amp;"*"), COUNTIF(C16, "*"&amp;sheet1!A$4&amp;"*"), COUNTIF(D16, "*"&amp;sheet1!A$4&amp;"*"), COUNTIF(E16, "*"&amp;sheet1!A$4&amp;"*"), COUNTIF(F16, "*"&amp;sheet1!A$4&amp;"*"), COUNTIF(G16, "*"&amp;sheet1!A$4&amp;"*")) &gt; 0, MAX(H$1:H15)+1, ""))</f>
        <v/>
      </c>
    </row>
    <row r="17" spans="1:8" ht="15.75" customHeight="1">
      <c r="A17" s="5" t="s">
        <v>10</v>
      </c>
      <c r="B17" s="5">
        <v>1</v>
      </c>
      <c r="C17" s="7" t="s">
        <v>46</v>
      </c>
      <c r="D17" s="7" t="s">
        <v>32</v>
      </c>
      <c r="E17" s="7" t="s">
        <v>38</v>
      </c>
      <c r="F17" s="7">
        <v>1985</v>
      </c>
      <c r="H17" s="7" t="str">
        <f>IF(OR(A17="", sheet1!A$4=""), "", IF(SUM(COUNTIF(A17, "*"&amp;sheet1!A$4&amp;"*"), COUNTIF(B17, "*"&amp;sheet1!A$4&amp;"*"), COUNTIF(C17, "*"&amp;sheet1!A$4&amp;"*"), COUNTIF(D17, "*"&amp;sheet1!A$4&amp;"*"), COUNTIF(E17, "*"&amp;sheet1!A$4&amp;"*"), COUNTIF(F17, "*"&amp;sheet1!A$4&amp;"*"), COUNTIF(G17, "*"&amp;sheet1!A$4&amp;"*")) &gt; 0, MAX(H$1:H16)+1, ""))</f>
        <v/>
      </c>
    </row>
    <row r="18" spans="1:8" ht="15.75" customHeight="1">
      <c r="A18" s="5" t="s">
        <v>10</v>
      </c>
      <c r="B18" s="5">
        <v>1</v>
      </c>
      <c r="C18" s="7" t="s">
        <v>47</v>
      </c>
      <c r="D18" s="7" t="s">
        <v>48</v>
      </c>
      <c r="E18" s="7" t="s">
        <v>49</v>
      </c>
      <c r="F18" s="7">
        <v>1937</v>
      </c>
      <c r="H18" s="7" t="str">
        <f>IF(OR(A18="", sheet1!A$4=""), "", IF(SUM(COUNTIF(A18, "*"&amp;sheet1!A$4&amp;"*"), COUNTIF(B18, "*"&amp;sheet1!A$4&amp;"*"), COUNTIF(C18, "*"&amp;sheet1!A$4&amp;"*"), COUNTIF(D18, "*"&amp;sheet1!A$4&amp;"*"), COUNTIF(E18, "*"&amp;sheet1!A$4&amp;"*"), COUNTIF(F18, "*"&amp;sheet1!A$4&amp;"*"), COUNTIF(G18, "*"&amp;sheet1!A$4&amp;"*")) &gt; 0, MAX(H$1:H17)+1, ""))</f>
        <v/>
      </c>
    </row>
    <row r="19" spans="1:8" ht="15.75" customHeight="1">
      <c r="A19" s="2"/>
      <c r="B19" s="2"/>
      <c r="H19" s="7" t="str">
        <f>IF(OR(A19="", sheet1!A$4=""), "", IF(SUM(COUNTIF(A19, "*"&amp;sheet1!A$4&amp;"*"), COUNTIF(B19, "*"&amp;sheet1!A$4&amp;"*"), COUNTIF(C19, "*"&amp;sheet1!A$4&amp;"*"), COUNTIF(D19, "*"&amp;sheet1!A$4&amp;"*"), COUNTIF(E19, "*"&amp;sheet1!A$4&amp;"*"), COUNTIF(F19, "*"&amp;sheet1!A$4&amp;"*"), COUNTIF(G19, "*"&amp;sheet1!A$4&amp;"*")) &gt; 0, MAX(H$1:H18)+1, ""))</f>
        <v/>
      </c>
    </row>
    <row r="20" spans="1:8" ht="15.75" customHeight="1">
      <c r="A20" s="5" t="s">
        <v>10</v>
      </c>
      <c r="B20" s="5">
        <v>2</v>
      </c>
      <c r="C20" s="7" t="s">
        <v>50</v>
      </c>
      <c r="D20" s="7" t="s">
        <v>51</v>
      </c>
      <c r="E20" s="7" t="s">
        <v>52</v>
      </c>
      <c r="F20" s="7">
        <v>1977</v>
      </c>
      <c r="H20" s="7" t="str">
        <f>IF(OR(A20="", sheet1!A$4=""), "", IF(SUM(COUNTIF(A20, "*"&amp;sheet1!A$4&amp;"*"), COUNTIF(B20, "*"&amp;sheet1!A$4&amp;"*"), COUNTIF(C20, "*"&amp;sheet1!A$4&amp;"*"), COUNTIF(D20, "*"&amp;sheet1!A$4&amp;"*"), COUNTIF(E20, "*"&amp;sheet1!A$4&amp;"*"), COUNTIF(F20, "*"&amp;sheet1!A$4&amp;"*"), COUNTIF(G20, "*"&amp;sheet1!A$4&amp;"*")) &gt; 0, MAX(H$1:H19)+1, ""))</f>
        <v/>
      </c>
    </row>
    <row r="21" spans="1:8" ht="15.75" customHeight="1">
      <c r="A21" s="5" t="s">
        <v>10</v>
      </c>
      <c r="B21" s="5">
        <v>2</v>
      </c>
      <c r="C21" s="7" t="s">
        <v>53</v>
      </c>
      <c r="D21" s="7" t="s">
        <v>51</v>
      </c>
      <c r="E21" s="7" t="s">
        <v>52</v>
      </c>
      <c r="F21" s="7">
        <v>1977</v>
      </c>
      <c r="H21" s="7" t="str">
        <f>IF(OR(A21="", sheet1!A$4=""), "", IF(SUM(COUNTIF(A21, "*"&amp;sheet1!A$4&amp;"*"), COUNTIF(B21, "*"&amp;sheet1!A$4&amp;"*"), COUNTIF(C21, "*"&amp;sheet1!A$4&amp;"*"), COUNTIF(D21, "*"&amp;sheet1!A$4&amp;"*"), COUNTIF(E21, "*"&amp;sheet1!A$4&amp;"*"), COUNTIF(F21, "*"&amp;sheet1!A$4&amp;"*"), COUNTIF(G21, "*"&amp;sheet1!A$4&amp;"*")) &gt; 0, MAX(H$1:H20)+1, ""))</f>
        <v/>
      </c>
    </row>
    <row r="22" spans="1:8" ht="15.75" customHeight="1">
      <c r="A22" s="5" t="s">
        <v>10</v>
      </c>
      <c r="B22" s="5">
        <v>2</v>
      </c>
      <c r="C22" s="7" t="s">
        <v>54</v>
      </c>
      <c r="D22" s="7" t="s">
        <v>51</v>
      </c>
      <c r="E22" s="7" t="s">
        <v>52</v>
      </c>
      <c r="F22" s="7">
        <v>1978</v>
      </c>
      <c r="H22" s="7" t="str">
        <f>IF(OR(A22="", sheet1!A$4=""), "", IF(SUM(COUNTIF(A22, "*"&amp;sheet1!A$4&amp;"*"), COUNTIF(B22, "*"&amp;sheet1!A$4&amp;"*"), COUNTIF(C22, "*"&amp;sheet1!A$4&amp;"*"), COUNTIF(D22, "*"&amp;sheet1!A$4&amp;"*"), COUNTIF(E22, "*"&amp;sheet1!A$4&amp;"*"), COUNTIF(F22, "*"&amp;sheet1!A$4&amp;"*"), COUNTIF(G22, "*"&amp;sheet1!A$4&amp;"*")) &gt; 0, MAX(H$1:H21)+1, ""))</f>
        <v/>
      </c>
    </row>
    <row r="23" spans="1:8" ht="15.75" customHeight="1">
      <c r="A23" s="5" t="s">
        <v>10</v>
      </c>
      <c r="B23" s="5">
        <v>2</v>
      </c>
      <c r="C23" s="7" t="s">
        <v>55</v>
      </c>
      <c r="D23" s="7" t="s">
        <v>56</v>
      </c>
      <c r="E23" s="7" t="s">
        <v>29</v>
      </c>
      <c r="F23" s="7">
        <v>1985</v>
      </c>
      <c r="H23" s="7" t="str">
        <f>IF(OR(A23="", sheet1!A$4=""), "", IF(SUM(COUNTIF(A23, "*"&amp;sheet1!A$4&amp;"*"), COUNTIF(B23, "*"&amp;sheet1!A$4&amp;"*"), COUNTIF(C23, "*"&amp;sheet1!A$4&amp;"*"), COUNTIF(D23, "*"&amp;sheet1!A$4&amp;"*"), COUNTIF(E23, "*"&amp;sheet1!A$4&amp;"*"), COUNTIF(F23, "*"&amp;sheet1!A$4&amp;"*"), COUNTIF(G23, "*"&amp;sheet1!A$4&amp;"*")) &gt; 0, MAX(H$1:H22)+1, ""))</f>
        <v/>
      </c>
    </row>
    <row r="24" spans="1:8" ht="12.5">
      <c r="A24" s="5" t="s">
        <v>10</v>
      </c>
      <c r="B24" s="5">
        <v>2</v>
      </c>
      <c r="C24" s="7" t="s">
        <v>57</v>
      </c>
      <c r="D24" s="7" t="s">
        <v>56</v>
      </c>
      <c r="E24" s="7" t="s">
        <v>29</v>
      </c>
      <c r="F24" s="7">
        <v>2013</v>
      </c>
      <c r="H24" s="7" t="str">
        <f>IF(OR(A24="", sheet1!A$4=""), "", IF(SUM(COUNTIF(A24, "*"&amp;sheet1!A$4&amp;"*"), COUNTIF(B24, "*"&amp;sheet1!A$4&amp;"*"), COUNTIF(C24, "*"&amp;sheet1!A$4&amp;"*"), COUNTIF(D24, "*"&amp;sheet1!A$4&amp;"*"), COUNTIF(E24, "*"&amp;sheet1!A$4&amp;"*"), COUNTIF(F24, "*"&amp;sheet1!A$4&amp;"*"), COUNTIF(G24, "*"&amp;sheet1!A$4&amp;"*")) &gt; 0, MAX(H$1:H23)+1, ""))</f>
        <v/>
      </c>
    </row>
    <row r="25" spans="1:8" ht="12.5">
      <c r="A25" s="5" t="s">
        <v>10</v>
      </c>
      <c r="B25" s="5">
        <v>2</v>
      </c>
      <c r="C25" s="7" t="s">
        <v>55</v>
      </c>
      <c r="D25" s="7" t="s">
        <v>56</v>
      </c>
      <c r="E25" s="7" t="s">
        <v>29</v>
      </c>
      <c r="F25" s="7">
        <v>2013</v>
      </c>
      <c r="H25" s="7" t="str">
        <f>IF(OR(A25="", sheet1!A$4=""), "", IF(SUM(COUNTIF(A25, "*"&amp;sheet1!A$4&amp;"*"), COUNTIF(B25, "*"&amp;sheet1!A$4&amp;"*"), COUNTIF(C25, "*"&amp;sheet1!A$4&amp;"*"), COUNTIF(D25, "*"&amp;sheet1!A$4&amp;"*"), COUNTIF(E25, "*"&amp;sheet1!A$4&amp;"*"), COUNTIF(F25, "*"&amp;sheet1!A$4&amp;"*"), COUNTIF(G25, "*"&amp;sheet1!A$4&amp;"*")) &gt; 0, MAX(H$1:H24)+1, ""))</f>
        <v/>
      </c>
    </row>
    <row r="26" spans="1:8" ht="12.5">
      <c r="A26" s="5" t="s">
        <v>10</v>
      </c>
      <c r="B26" s="5">
        <v>2</v>
      </c>
      <c r="C26" s="7" t="s">
        <v>58</v>
      </c>
      <c r="D26" s="7" t="s">
        <v>28</v>
      </c>
      <c r="E26" s="7" t="s">
        <v>59</v>
      </c>
      <c r="F26" s="7">
        <v>1996</v>
      </c>
      <c r="H26" s="7" t="str">
        <f>IF(OR(A26="", sheet1!A$4=""), "", IF(SUM(COUNTIF(A26, "*"&amp;sheet1!A$4&amp;"*"), COUNTIF(B26, "*"&amp;sheet1!A$4&amp;"*"), COUNTIF(C26, "*"&amp;sheet1!A$4&amp;"*"), COUNTIF(D26, "*"&amp;sheet1!A$4&amp;"*"), COUNTIF(E26, "*"&amp;sheet1!A$4&amp;"*"), COUNTIF(F26, "*"&amp;sheet1!A$4&amp;"*"), COUNTIF(G26, "*"&amp;sheet1!A$4&amp;"*")) &gt; 0, MAX(H$1:H25)+1, ""))</f>
        <v/>
      </c>
    </row>
    <row r="27" spans="1:8" ht="12.5">
      <c r="A27" s="5" t="s">
        <v>10</v>
      </c>
      <c r="B27" s="5">
        <v>2</v>
      </c>
      <c r="C27" s="7" t="s">
        <v>60</v>
      </c>
      <c r="D27" s="7" t="s">
        <v>51</v>
      </c>
      <c r="E27" s="7" t="s">
        <v>52</v>
      </c>
      <c r="F27" s="7">
        <v>1976</v>
      </c>
      <c r="H27" s="7" t="str">
        <f>IF(OR(A27="", sheet1!A$4=""), "", IF(SUM(COUNTIF(A27, "*"&amp;sheet1!A$4&amp;"*"), COUNTIF(B27, "*"&amp;sheet1!A$4&amp;"*"), COUNTIF(C27, "*"&amp;sheet1!A$4&amp;"*"), COUNTIF(D27, "*"&amp;sheet1!A$4&amp;"*"), COUNTIF(E27, "*"&amp;sheet1!A$4&amp;"*"), COUNTIF(F27, "*"&amp;sheet1!A$4&amp;"*"), COUNTIF(G27, "*"&amp;sheet1!A$4&amp;"*")) &gt; 0, MAX(H$1:H26)+1, ""))</f>
        <v/>
      </c>
    </row>
    <row r="28" spans="1:8" ht="12.5">
      <c r="A28" s="5" t="s">
        <v>10</v>
      </c>
      <c r="B28" s="5">
        <v>2</v>
      </c>
      <c r="C28" s="7" t="s">
        <v>61</v>
      </c>
      <c r="D28" s="7" t="s">
        <v>62</v>
      </c>
      <c r="E28" s="7" t="s">
        <v>45</v>
      </c>
      <c r="F28" s="7">
        <v>2007</v>
      </c>
      <c r="G28" s="7" t="s">
        <v>63</v>
      </c>
      <c r="H28" s="7" t="str">
        <f>IF(OR(A28="", sheet1!A$4=""), "", IF(SUM(COUNTIF(A28, "*"&amp;sheet1!A$4&amp;"*"), COUNTIF(B28, "*"&amp;sheet1!A$4&amp;"*"), COUNTIF(C28, "*"&amp;sheet1!A$4&amp;"*"), COUNTIF(D28, "*"&amp;sheet1!A$4&amp;"*"), COUNTIF(E28, "*"&amp;sheet1!A$4&amp;"*"), COUNTIF(F28, "*"&amp;sheet1!A$4&amp;"*"), COUNTIF(G28, "*"&amp;sheet1!A$4&amp;"*")) &gt; 0, MAX(H$1:H27)+1, ""))</f>
        <v/>
      </c>
    </row>
    <row r="29" spans="1:8" ht="12.5">
      <c r="A29" s="5" t="s">
        <v>10</v>
      </c>
      <c r="B29" s="5">
        <v>2</v>
      </c>
      <c r="C29" s="7" t="s">
        <v>61</v>
      </c>
      <c r="D29" s="7" t="s">
        <v>62</v>
      </c>
      <c r="E29" s="7" t="s">
        <v>45</v>
      </c>
      <c r="F29" s="7">
        <v>2007</v>
      </c>
      <c r="H29" s="7" t="str">
        <f>IF(OR(A29="", sheet1!A$4=""), "", IF(SUM(COUNTIF(A29, "*"&amp;sheet1!A$4&amp;"*"), COUNTIF(B29, "*"&amp;sheet1!A$4&amp;"*"), COUNTIF(C29, "*"&amp;sheet1!A$4&amp;"*"), COUNTIF(D29, "*"&amp;sheet1!A$4&amp;"*"), COUNTIF(E29, "*"&amp;sheet1!A$4&amp;"*"), COUNTIF(F29, "*"&amp;sheet1!A$4&amp;"*"), COUNTIF(G29, "*"&amp;sheet1!A$4&amp;"*")) &gt; 0, MAX(H$1:H28)+1, ""))</f>
        <v/>
      </c>
    </row>
    <row r="30" spans="1:8" ht="12.5">
      <c r="A30" s="5" t="s">
        <v>10</v>
      </c>
      <c r="B30" s="5">
        <v>2</v>
      </c>
      <c r="C30" s="7" t="s">
        <v>64</v>
      </c>
      <c r="D30" s="7" t="s">
        <v>65</v>
      </c>
      <c r="E30" s="7" t="s">
        <v>45</v>
      </c>
      <c r="F30" s="7">
        <v>2017</v>
      </c>
      <c r="H30" s="7" t="str">
        <f>IF(OR(A30="", sheet1!A$4=""), "", IF(SUM(COUNTIF(A30, "*"&amp;sheet1!A$4&amp;"*"), COUNTIF(B30, "*"&amp;sheet1!A$4&amp;"*"), COUNTIF(C30, "*"&amp;sheet1!A$4&amp;"*"), COUNTIF(D30, "*"&amp;sheet1!A$4&amp;"*"), COUNTIF(E30, "*"&amp;sheet1!A$4&amp;"*"), COUNTIF(F30, "*"&amp;sheet1!A$4&amp;"*"), COUNTIF(G30, "*"&amp;sheet1!A$4&amp;"*")) &gt; 0, MAX(H$1:H29)+1, ""))</f>
        <v/>
      </c>
    </row>
    <row r="31" spans="1:8" ht="12.5">
      <c r="A31" s="5" t="s">
        <v>10</v>
      </c>
      <c r="B31" s="5">
        <v>2</v>
      </c>
      <c r="C31" s="7" t="s">
        <v>66</v>
      </c>
      <c r="D31" s="7" t="s">
        <v>67</v>
      </c>
      <c r="E31" s="7" t="s">
        <v>67</v>
      </c>
      <c r="F31" s="7">
        <v>2017</v>
      </c>
      <c r="H31" s="7" t="str">
        <f>IF(OR(A31="", sheet1!A$4=""), "", IF(SUM(COUNTIF(A31, "*"&amp;sheet1!A$4&amp;"*"), COUNTIF(B31, "*"&amp;sheet1!A$4&amp;"*"), COUNTIF(C31, "*"&amp;sheet1!A$4&amp;"*"), COUNTIF(D31, "*"&amp;sheet1!A$4&amp;"*"), COUNTIF(E31, "*"&amp;sheet1!A$4&amp;"*"), COUNTIF(F31, "*"&amp;sheet1!A$4&amp;"*"), COUNTIF(G31, "*"&amp;sheet1!A$4&amp;"*")) &gt; 0, MAX(H$1:H30)+1, ""))</f>
        <v/>
      </c>
    </row>
    <row r="32" spans="1:8" ht="12.5">
      <c r="A32" s="5" t="s">
        <v>10</v>
      </c>
      <c r="B32" s="5">
        <v>2</v>
      </c>
      <c r="C32" s="7" t="s">
        <v>68</v>
      </c>
      <c r="D32" s="7" t="s">
        <v>69</v>
      </c>
      <c r="E32" s="7" t="s">
        <v>38</v>
      </c>
      <c r="F32" s="7">
        <v>1983</v>
      </c>
      <c r="G32" s="8" t="s">
        <v>70</v>
      </c>
      <c r="H32" s="7" t="str">
        <f>IF(OR(A32="", sheet1!A$4=""), "", IF(SUM(COUNTIF(A32, "*"&amp;sheet1!A$4&amp;"*"), COUNTIF(B32, "*"&amp;sheet1!A$4&amp;"*"), COUNTIF(C32, "*"&amp;sheet1!A$4&amp;"*"), COUNTIF(D32, "*"&amp;sheet1!A$4&amp;"*"), COUNTIF(E32, "*"&amp;sheet1!A$4&amp;"*"), COUNTIF(F32, "*"&amp;sheet1!A$4&amp;"*"), COUNTIF(G32, "*"&amp;sheet1!A$4&amp;"*")) &gt; 0, MAX(H$1:H31)+1, ""))</f>
        <v/>
      </c>
    </row>
    <row r="33" spans="1:8" ht="12.5">
      <c r="A33" s="5" t="s">
        <v>10</v>
      </c>
      <c r="B33" s="5">
        <v>2</v>
      </c>
      <c r="C33" s="7" t="s">
        <v>71</v>
      </c>
      <c r="D33" s="7" t="s">
        <v>20</v>
      </c>
      <c r="E33" s="7" t="s">
        <v>49</v>
      </c>
      <c r="F33" s="7">
        <v>1992</v>
      </c>
      <c r="H33" s="7" t="str">
        <f>IF(OR(A33="", sheet1!A$4=""), "", IF(SUM(COUNTIF(A33, "*"&amp;sheet1!A$4&amp;"*"), COUNTIF(B33, "*"&amp;sheet1!A$4&amp;"*"), COUNTIF(C33, "*"&amp;sheet1!A$4&amp;"*"), COUNTIF(D33, "*"&amp;sheet1!A$4&amp;"*"), COUNTIF(E33, "*"&amp;sheet1!A$4&amp;"*"), COUNTIF(F33, "*"&amp;sheet1!A$4&amp;"*"), COUNTIF(G33, "*"&amp;sheet1!A$4&amp;"*")) &gt; 0, MAX(H$1:H32)+1, ""))</f>
        <v/>
      </c>
    </row>
    <row r="34" spans="1:8" ht="16">
      <c r="A34" s="5" t="s">
        <v>10</v>
      </c>
      <c r="B34" s="5">
        <v>2</v>
      </c>
      <c r="C34" s="7" t="s">
        <v>72</v>
      </c>
      <c r="D34" s="9" t="s">
        <v>73</v>
      </c>
      <c r="E34" s="7" t="s">
        <v>74</v>
      </c>
      <c r="F34" s="7">
        <v>1957</v>
      </c>
      <c r="H34" s="7" t="str">
        <f>IF(OR(A34="", sheet1!A$4=""), "", IF(SUM(COUNTIF(A34, "*"&amp;sheet1!A$4&amp;"*"), COUNTIF(B34, "*"&amp;sheet1!A$4&amp;"*"), COUNTIF(C34, "*"&amp;sheet1!A$4&amp;"*"), COUNTIF(D34, "*"&amp;sheet1!A$4&amp;"*"), COUNTIF(E34, "*"&amp;sheet1!A$4&amp;"*"), COUNTIF(F34, "*"&amp;sheet1!A$4&amp;"*"), COUNTIF(G34, "*"&amp;sheet1!A$4&amp;"*")) &gt; 0, MAX(H$1:H33)+1, ""))</f>
        <v/>
      </c>
    </row>
    <row r="35" spans="1:8" ht="12.5">
      <c r="A35" s="5" t="s">
        <v>10</v>
      </c>
      <c r="B35" s="5">
        <v>2</v>
      </c>
      <c r="C35" s="7" t="s">
        <v>75</v>
      </c>
      <c r="D35" s="7" t="s">
        <v>20</v>
      </c>
      <c r="E35" s="7" t="s">
        <v>49</v>
      </c>
      <c r="F35" s="7">
        <v>1995</v>
      </c>
      <c r="H35" s="7" t="str">
        <f>IF(OR(A35="", sheet1!A$4=""), "", IF(SUM(COUNTIF(A35, "*"&amp;sheet1!A$4&amp;"*"), COUNTIF(B35, "*"&amp;sheet1!A$4&amp;"*"), COUNTIF(C35, "*"&amp;sheet1!A$4&amp;"*"), COUNTIF(D35, "*"&amp;sheet1!A$4&amp;"*"), COUNTIF(E35, "*"&amp;sheet1!A$4&amp;"*"), COUNTIF(F35, "*"&amp;sheet1!A$4&amp;"*"), COUNTIF(G35, "*"&amp;sheet1!A$4&amp;"*")) &gt; 0, MAX(H$1:H34)+1, ""))</f>
        <v/>
      </c>
    </row>
    <row r="36" spans="1:8" ht="12.5">
      <c r="A36" s="5" t="s">
        <v>10</v>
      </c>
      <c r="B36" s="5">
        <v>2</v>
      </c>
      <c r="C36" s="7" t="s">
        <v>76</v>
      </c>
      <c r="D36" s="7" t="s">
        <v>77</v>
      </c>
      <c r="E36" s="7" t="s">
        <v>78</v>
      </c>
      <c r="F36" s="7">
        <v>1987</v>
      </c>
      <c r="H36" s="7" t="str">
        <f>IF(OR(A36="", sheet1!A$4=""), "", IF(SUM(COUNTIF(A36, "*"&amp;sheet1!A$4&amp;"*"), COUNTIF(B36, "*"&amp;sheet1!A$4&amp;"*"), COUNTIF(C36, "*"&amp;sheet1!A$4&amp;"*"), COUNTIF(D36, "*"&amp;sheet1!A$4&amp;"*"), COUNTIF(E36, "*"&amp;sheet1!A$4&amp;"*"), COUNTIF(F36, "*"&amp;sheet1!A$4&amp;"*"), COUNTIF(G36, "*"&amp;sheet1!A$4&amp;"*")) &gt; 0, MAX(H$1:H35)+1, ""))</f>
        <v/>
      </c>
    </row>
    <row r="37" spans="1:8" ht="12.5">
      <c r="A37" s="5" t="s">
        <v>10</v>
      </c>
      <c r="B37" s="5">
        <v>2</v>
      </c>
      <c r="C37" s="7" t="s">
        <v>79</v>
      </c>
      <c r="D37" s="7" t="s">
        <v>28</v>
      </c>
      <c r="E37" s="7" t="s">
        <v>38</v>
      </c>
      <c r="F37" s="7">
        <v>1969</v>
      </c>
      <c r="H37" s="7" t="str">
        <f>IF(OR(A37="", sheet1!A$4=""), "", IF(SUM(COUNTIF(A37, "*"&amp;sheet1!A$4&amp;"*"), COUNTIF(B37, "*"&amp;sheet1!A$4&amp;"*"), COUNTIF(C37, "*"&amp;sheet1!A$4&amp;"*"), COUNTIF(D37, "*"&amp;sheet1!A$4&amp;"*"), COUNTIF(E37, "*"&amp;sheet1!A$4&amp;"*"), COUNTIF(F37, "*"&amp;sheet1!A$4&amp;"*"), COUNTIF(G37, "*"&amp;sheet1!A$4&amp;"*")) &gt; 0, MAX(H$1:H36)+1, ""))</f>
        <v/>
      </c>
    </row>
    <row r="38" spans="1:8" ht="12.5">
      <c r="A38" s="5" t="s">
        <v>10</v>
      </c>
      <c r="B38" s="5">
        <v>2</v>
      </c>
      <c r="C38" s="7" t="s">
        <v>80</v>
      </c>
      <c r="D38" s="7" t="s">
        <v>81</v>
      </c>
      <c r="E38" s="7" t="s">
        <v>35</v>
      </c>
      <c r="F38" s="7">
        <v>1976</v>
      </c>
      <c r="H38" s="7" t="str">
        <f>IF(OR(A38="", sheet1!A$4=""), "", IF(SUM(COUNTIF(A38, "*"&amp;sheet1!A$4&amp;"*"), COUNTIF(B38, "*"&amp;sheet1!A$4&amp;"*"), COUNTIF(C38, "*"&amp;sheet1!A$4&amp;"*"), COUNTIF(D38, "*"&amp;sheet1!A$4&amp;"*"), COUNTIF(E38, "*"&amp;sheet1!A$4&amp;"*"), COUNTIF(F38, "*"&amp;sheet1!A$4&amp;"*"), COUNTIF(G38, "*"&amp;sheet1!A$4&amp;"*")) &gt; 0, MAX(H$1:H37)+1, ""))</f>
        <v/>
      </c>
    </row>
    <row r="39" spans="1:8" ht="12.5">
      <c r="A39" s="5" t="s">
        <v>10</v>
      </c>
      <c r="B39" s="5">
        <v>2</v>
      </c>
      <c r="C39" s="7" t="s">
        <v>82</v>
      </c>
      <c r="D39" s="7" t="s">
        <v>81</v>
      </c>
      <c r="E39" s="7" t="s">
        <v>35</v>
      </c>
      <c r="F39" s="7">
        <v>1976</v>
      </c>
      <c r="H39" s="7" t="str">
        <f>IF(OR(A39="", sheet1!A$4=""), "", IF(SUM(COUNTIF(A39, "*"&amp;sheet1!A$4&amp;"*"), COUNTIF(B39, "*"&amp;sheet1!A$4&amp;"*"), COUNTIF(C39, "*"&amp;sheet1!A$4&amp;"*"), COUNTIF(D39, "*"&amp;sheet1!A$4&amp;"*"), COUNTIF(E39, "*"&amp;sheet1!A$4&amp;"*"), COUNTIF(F39, "*"&amp;sheet1!A$4&amp;"*"), COUNTIF(G39, "*"&amp;sheet1!A$4&amp;"*")) &gt; 0, MAX(H$1:H38)+1, ""))</f>
        <v/>
      </c>
    </row>
    <row r="40" spans="1:8" ht="12.5">
      <c r="A40" s="5" t="s">
        <v>10</v>
      </c>
      <c r="B40" s="5">
        <v>2</v>
      </c>
      <c r="C40" s="7" t="s">
        <v>83</v>
      </c>
      <c r="D40" s="7" t="s">
        <v>20</v>
      </c>
      <c r="E40" s="7" t="s">
        <v>33</v>
      </c>
      <c r="F40" s="7">
        <v>2000</v>
      </c>
      <c r="H40" s="7" t="str">
        <f>IF(OR(A40="", sheet1!A$4=""), "", IF(SUM(COUNTIF(A40, "*"&amp;sheet1!A$4&amp;"*"), COUNTIF(B40, "*"&amp;sheet1!A$4&amp;"*"), COUNTIF(C40, "*"&amp;sheet1!A$4&amp;"*"), COUNTIF(D40, "*"&amp;sheet1!A$4&amp;"*"), COUNTIF(E40, "*"&amp;sheet1!A$4&amp;"*"), COUNTIF(F40, "*"&amp;sheet1!A$4&amp;"*"), COUNTIF(G40, "*"&amp;sheet1!A$4&amp;"*")) &gt; 0, MAX(H$1:H39)+1, ""))</f>
        <v/>
      </c>
    </row>
    <row r="41" spans="1:8" ht="12.5">
      <c r="A41" s="5" t="s">
        <v>10</v>
      </c>
      <c r="B41" s="5">
        <v>2</v>
      </c>
      <c r="C41" s="7" t="s">
        <v>84</v>
      </c>
      <c r="D41" s="7" t="s">
        <v>85</v>
      </c>
      <c r="E41" s="7" t="s">
        <v>86</v>
      </c>
      <c r="F41" s="7">
        <v>1996</v>
      </c>
      <c r="H41" s="7" t="str">
        <f>IF(OR(A41="", sheet1!A$4=""), "", IF(SUM(COUNTIF(A41, "*"&amp;sheet1!A$4&amp;"*"), COUNTIF(B41, "*"&amp;sheet1!A$4&amp;"*"), COUNTIF(C41, "*"&amp;sheet1!A$4&amp;"*"), COUNTIF(D41, "*"&amp;sheet1!A$4&amp;"*"), COUNTIF(E41, "*"&amp;sheet1!A$4&amp;"*"), COUNTIF(F41, "*"&amp;sheet1!A$4&amp;"*"), COUNTIF(G41, "*"&amp;sheet1!A$4&amp;"*")) &gt; 0, MAX(H$1:H40)+1, ""))</f>
        <v/>
      </c>
    </row>
    <row r="42" spans="1:8" ht="12.5">
      <c r="A42" s="5" t="s">
        <v>10</v>
      </c>
      <c r="B42" s="5">
        <v>2</v>
      </c>
      <c r="C42" s="7" t="s">
        <v>87</v>
      </c>
      <c r="D42" s="7" t="s">
        <v>88</v>
      </c>
      <c r="E42" s="7" t="s">
        <v>89</v>
      </c>
      <c r="F42" s="7">
        <v>2018</v>
      </c>
      <c r="H42" s="7" t="str">
        <f>IF(OR(A42="", sheet1!A$4=""), "", IF(SUM(COUNTIF(A42, "*"&amp;sheet1!A$4&amp;"*"), COUNTIF(B42, "*"&amp;sheet1!A$4&amp;"*"), COUNTIF(C42, "*"&amp;sheet1!A$4&amp;"*"), COUNTIF(D42, "*"&amp;sheet1!A$4&amp;"*"), COUNTIF(E42, "*"&amp;sheet1!A$4&amp;"*"), COUNTIF(F42, "*"&amp;sheet1!A$4&amp;"*"), COUNTIF(G42, "*"&amp;sheet1!A$4&amp;"*")) &gt; 0, MAX(H$1:H41)+1, ""))</f>
        <v/>
      </c>
    </row>
    <row r="43" spans="1:8" ht="12.5">
      <c r="A43" s="5" t="s">
        <v>10</v>
      </c>
      <c r="B43" s="5">
        <v>2</v>
      </c>
      <c r="C43" s="7" t="s">
        <v>90</v>
      </c>
      <c r="D43" s="7" t="s">
        <v>91</v>
      </c>
      <c r="E43" s="7" t="s">
        <v>45</v>
      </c>
      <c r="F43" s="7">
        <v>2009</v>
      </c>
      <c r="H43" s="7" t="str">
        <f>IF(OR(A43="", sheet1!A$4=""), "", IF(SUM(COUNTIF(A43, "*"&amp;sheet1!A$4&amp;"*"), COUNTIF(B43, "*"&amp;sheet1!A$4&amp;"*"), COUNTIF(C43, "*"&amp;sheet1!A$4&amp;"*"), COUNTIF(D43, "*"&amp;sheet1!A$4&amp;"*"), COUNTIF(E43, "*"&amp;sheet1!A$4&amp;"*"), COUNTIF(F43, "*"&amp;sheet1!A$4&amp;"*"), COUNTIF(G43, "*"&amp;sheet1!A$4&amp;"*")) &gt; 0, MAX(H$1:H42)+1, ""))</f>
        <v/>
      </c>
    </row>
    <row r="44" spans="1:8" ht="12.5">
      <c r="A44" s="5" t="s">
        <v>10</v>
      </c>
      <c r="B44" s="5">
        <v>2</v>
      </c>
      <c r="C44" s="7" t="s">
        <v>92</v>
      </c>
      <c r="D44" s="7" t="s">
        <v>51</v>
      </c>
      <c r="E44" s="7" t="s">
        <v>52</v>
      </c>
      <c r="F44" s="7">
        <v>1978</v>
      </c>
      <c r="H44" s="7" t="str">
        <f>IF(OR(A44="", sheet1!A$4=""), "", IF(SUM(COUNTIF(A44, "*"&amp;sheet1!A$4&amp;"*"), COUNTIF(B44, "*"&amp;sheet1!A$4&amp;"*"), COUNTIF(C44, "*"&amp;sheet1!A$4&amp;"*"), COUNTIF(D44, "*"&amp;sheet1!A$4&amp;"*"), COUNTIF(E44, "*"&amp;sheet1!A$4&amp;"*"), COUNTIF(F44, "*"&amp;sheet1!A$4&amp;"*"), COUNTIF(G44, "*"&amp;sheet1!A$4&amp;"*")) &gt; 0, MAX(H$1:H43)+1, ""))</f>
        <v/>
      </c>
    </row>
    <row r="45" spans="1:8" ht="12.5">
      <c r="A45" s="2"/>
      <c r="B45" s="2"/>
      <c r="H45" s="7" t="str">
        <f>IF(OR(A45="", sheet1!A$4=""), "", IF(SUM(COUNTIF(A45, "*"&amp;sheet1!A$4&amp;"*"), COUNTIF(B45, "*"&amp;sheet1!A$4&amp;"*"), COUNTIF(C45, "*"&amp;sheet1!A$4&amp;"*"), COUNTIF(D45, "*"&amp;sheet1!A$4&amp;"*"), COUNTIF(E45, "*"&amp;sheet1!A$4&amp;"*"), COUNTIF(F45, "*"&amp;sheet1!A$4&amp;"*"), COUNTIF(G45, "*"&amp;sheet1!A$4&amp;"*")) &gt; 0, MAX(H$1:H44)+1, ""))</f>
        <v/>
      </c>
    </row>
    <row r="46" spans="1:8" ht="12.5">
      <c r="A46" s="5" t="s">
        <v>10</v>
      </c>
      <c r="B46" s="5">
        <v>3</v>
      </c>
      <c r="C46" s="7" t="s">
        <v>93</v>
      </c>
      <c r="D46" s="7" t="s">
        <v>20</v>
      </c>
      <c r="E46" s="7" t="s">
        <v>49</v>
      </c>
      <c r="F46" s="7">
        <v>1977</v>
      </c>
      <c r="G46" s="7" t="s">
        <v>70</v>
      </c>
      <c r="H46" s="7" t="str">
        <f>IF(OR(A46="", sheet1!A$4=""), "", IF(SUM(COUNTIF(A46, "*"&amp;sheet1!A$4&amp;"*"), COUNTIF(B46, "*"&amp;sheet1!A$4&amp;"*"), COUNTIF(C46, "*"&amp;sheet1!A$4&amp;"*"), COUNTIF(D46, "*"&amp;sheet1!A$4&amp;"*"), COUNTIF(E46, "*"&amp;sheet1!A$4&amp;"*"), COUNTIF(F46, "*"&amp;sheet1!A$4&amp;"*"), COUNTIF(G46, "*"&amp;sheet1!A$4&amp;"*")) &gt; 0, MAX(H$1:H45)+1, ""))</f>
        <v/>
      </c>
    </row>
    <row r="47" spans="1:8" ht="12.5">
      <c r="A47" s="5" t="s">
        <v>10</v>
      </c>
      <c r="B47" s="5">
        <v>3</v>
      </c>
      <c r="C47" s="7" t="s">
        <v>94</v>
      </c>
      <c r="D47" s="7" t="s">
        <v>95</v>
      </c>
      <c r="E47" s="7" t="s">
        <v>96</v>
      </c>
      <c r="F47" s="7">
        <v>2001</v>
      </c>
      <c r="H47" s="7" t="str">
        <f>IF(OR(A47="", sheet1!A$4=""), "", IF(SUM(COUNTIF(A47, "*"&amp;sheet1!A$4&amp;"*"), COUNTIF(B47, "*"&amp;sheet1!A$4&amp;"*"), COUNTIF(C47, "*"&amp;sheet1!A$4&amp;"*"), COUNTIF(D47, "*"&amp;sheet1!A$4&amp;"*"), COUNTIF(E47, "*"&amp;sheet1!A$4&amp;"*"), COUNTIF(F47, "*"&amp;sheet1!A$4&amp;"*"), COUNTIF(G47, "*"&amp;sheet1!A$4&amp;"*")) &gt; 0, MAX(H$1:H46)+1, ""))</f>
        <v/>
      </c>
    </row>
    <row r="48" spans="1:8" ht="12.5">
      <c r="A48" s="5" t="s">
        <v>10</v>
      </c>
      <c r="B48" s="5">
        <v>3</v>
      </c>
      <c r="C48" s="7" t="s">
        <v>97</v>
      </c>
      <c r="D48" s="7" t="s">
        <v>20</v>
      </c>
      <c r="E48" s="7" t="s">
        <v>29</v>
      </c>
      <c r="F48" s="7">
        <v>1981</v>
      </c>
      <c r="H48" s="7" t="str">
        <f>IF(OR(A48="", sheet1!A$4=""), "", IF(SUM(COUNTIF(A48, "*"&amp;sheet1!A$4&amp;"*"), COUNTIF(B48, "*"&amp;sheet1!A$4&amp;"*"), COUNTIF(C48, "*"&amp;sheet1!A$4&amp;"*"), COUNTIF(D48, "*"&amp;sheet1!A$4&amp;"*"), COUNTIF(E48, "*"&amp;sheet1!A$4&amp;"*"), COUNTIF(F48, "*"&amp;sheet1!A$4&amp;"*"), COUNTIF(G48, "*"&amp;sheet1!A$4&amp;"*")) &gt; 0, MAX(H$1:H47)+1, ""))</f>
        <v/>
      </c>
    </row>
    <row r="49" spans="1:8" ht="12.5">
      <c r="A49" s="5" t="s">
        <v>10</v>
      </c>
      <c r="B49" s="5">
        <v>3</v>
      </c>
      <c r="C49" s="7" t="s">
        <v>98</v>
      </c>
      <c r="D49" s="7" t="s">
        <v>99</v>
      </c>
      <c r="E49" s="7" t="s">
        <v>38</v>
      </c>
      <c r="F49" s="7">
        <v>1975</v>
      </c>
      <c r="H49" s="7" t="str">
        <f>IF(OR(A49="", sheet1!A$4=""), "", IF(SUM(COUNTIF(A49, "*"&amp;sheet1!A$4&amp;"*"), COUNTIF(B49, "*"&amp;sheet1!A$4&amp;"*"), COUNTIF(C49, "*"&amp;sheet1!A$4&amp;"*"), COUNTIF(D49, "*"&amp;sheet1!A$4&amp;"*"), COUNTIF(E49, "*"&amp;sheet1!A$4&amp;"*"), COUNTIF(F49, "*"&amp;sheet1!A$4&amp;"*"), COUNTIF(G49, "*"&amp;sheet1!A$4&amp;"*")) &gt; 0, MAX(H$1:H48)+1, ""))</f>
        <v/>
      </c>
    </row>
    <row r="50" spans="1:8" ht="12.5">
      <c r="A50" s="5" t="s">
        <v>10</v>
      </c>
      <c r="B50" s="5">
        <v>3</v>
      </c>
      <c r="C50" s="7" t="s">
        <v>100</v>
      </c>
      <c r="D50" s="7" t="s">
        <v>99</v>
      </c>
      <c r="E50" s="7" t="s">
        <v>38</v>
      </c>
      <c r="F50" s="7">
        <v>1979</v>
      </c>
      <c r="H50" s="7" t="str">
        <f>IF(OR(A50="", sheet1!A$4=""), "", IF(SUM(COUNTIF(A50, "*"&amp;sheet1!A$4&amp;"*"), COUNTIF(B50, "*"&amp;sheet1!A$4&amp;"*"), COUNTIF(C50, "*"&amp;sheet1!A$4&amp;"*"), COUNTIF(D50, "*"&amp;sheet1!A$4&amp;"*"), COUNTIF(E50, "*"&amp;sheet1!A$4&amp;"*"), COUNTIF(F50, "*"&amp;sheet1!A$4&amp;"*"), COUNTIF(G50, "*"&amp;sheet1!A$4&amp;"*")) &gt; 0, MAX(H$1:H49)+1, ""))</f>
        <v/>
      </c>
    </row>
    <row r="51" spans="1:8" ht="12.5">
      <c r="A51" s="5" t="s">
        <v>10</v>
      </c>
      <c r="B51" s="5">
        <v>3</v>
      </c>
      <c r="C51" s="7" t="s">
        <v>101</v>
      </c>
      <c r="D51" s="7" t="s">
        <v>102</v>
      </c>
      <c r="E51" s="7" t="s">
        <v>78</v>
      </c>
      <c r="F51" s="7">
        <v>2011</v>
      </c>
      <c r="H51" s="7" t="str">
        <f>IF(OR(A51="", sheet1!A$4=""), "", IF(SUM(COUNTIF(A51, "*"&amp;sheet1!A$4&amp;"*"), COUNTIF(B51, "*"&amp;sheet1!A$4&amp;"*"), COUNTIF(C51, "*"&amp;sheet1!A$4&amp;"*"), COUNTIF(D51, "*"&amp;sheet1!A$4&amp;"*"), COUNTIF(E51, "*"&amp;sheet1!A$4&amp;"*"), COUNTIF(F51, "*"&amp;sheet1!A$4&amp;"*"), COUNTIF(G51, "*"&amp;sheet1!A$4&amp;"*")) &gt; 0, MAX(H$1:H50)+1, ""))</f>
        <v/>
      </c>
    </row>
    <row r="52" spans="1:8" ht="12.5">
      <c r="A52" s="5" t="s">
        <v>10</v>
      </c>
      <c r="B52" s="5">
        <v>3</v>
      </c>
      <c r="C52" s="7" t="s">
        <v>103</v>
      </c>
      <c r="D52" s="7" t="s">
        <v>104</v>
      </c>
      <c r="E52" s="7" t="s">
        <v>74</v>
      </c>
      <c r="F52" s="7">
        <v>1975</v>
      </c>
      <c r="H52" s="7" t="str">
        <f>IF(OR(A52="", sheet1!A$4=""), "", IF(SUM(COUNTIF(A52, "*"&amp;sheet1!A$4&amp;"*"), COUNTIF(B52, "*"&amp;sheet1!A$4&amp;"*"), COUNTIF(C52, "*"&amp;sheet1!A$4&amp;"*"), COUNTIF(D52, "*"&amp;sheet1!A$4&amp;"*"), COUNTIF(E52, "*"&amp;sheet1!A$4&amp;"*"), COUNTIF(F52, "*"&amp;sheet1!A$4&amp;"*"), COUNTIF(G52, "*"&amp;sheet1!A$4&amp;"*")) &gt; 0, MAX(H$1:H51)+1, ""))</f>
        <v/>
      </c>
    </row>
    <row r="53" spans="1:8" ht="12.5">
      <c r="A53" s="5" t="s">
        <v>10</v>
      </c>
      <c r="B53" s="5">
        <v>3</v>
      </c>
      <c r="C53" s="7" t="s">
        <v>105</v>
      </c>
      <c r="D53" s="7" t="s">
        <v>106</v>
      </c>
      <c r="E53" s="7" t="s">
        <v>96</v>
      </c>
      <c r="F53" s="7">
        <v>1983</v>
      </c>
      <c r="H53" s="7" t="str">
        <f>IF(OR(A53="", sheet1!A$4=""), "", IF(SUM(COUNTIF(A53, "*"&amp;sheet1!A$4&amp;"*"), COUNTIF(B53, "*"&amp;sheet1!A$4&amp;"*"), COUNTIF(C53, "*"&amp;sheet1!A$4&amp;"*"), COUNTIF(D53, "*"&amp;sheet1!A$4&amp;"*"), COUNTIF(E53, "*"&amp;sheet1!A$4&amp;"*"), COUNTIF(F53, "*"&amp;sheet1!A$4&amp;"*"), COUNTIF(G53, "*"&amp;sheet1!A$4&amp;"*")) &gt; 0, MAX(H$1:H52)+1, ""))</f>
        <v/>
      </c>
    </row>
    <row r="54" spans="1:8" ht="12.5">
      <c r="A54" s="5" t="s">
        <v>10</v>
      </c>
      <c r="B54" s="5">
        <v>3</v>
      </c>
      <c r="C54" s="7" t="s">
        <v>107</v>
      </c>
      <c r="D54" s="7" t="s">
        <v>106</v>
      </c>
      <c r="E54" s="7" t="s">
        <v>96</v>
      </c>
      <c r="F54" s="7">
        <v>1984</v>
      </c>
      <c r="H54" s="7" t="str">
        <f>IF(OR(A54="", sheet1!A$4=""), "", IF(SUM(COUNTIF(A54, "*"&amp;sheet1!A$4&amp;"*"), COUNTIF(B54, "*"&amp;sheet1!A$4&amp;"*"), COUNTIF(C54, "*"&amp;sheet1!A$4&amp;"*"), COUNTIF(D54, "*"&amp;sheet1!A$4&amp;"*"), COUNTIF(E54, "*"&amp;sheet1!A$4&amp;"*"), COUNTIF(F54, "*"&amp;sheet1!A$4&amp;"*"), COUNTIF(G54, "*"&amp;sheet1!A$4&amp;"*")) &gt; 0, MAX(H$1:H53)+1, ""))</f>
        <v/>
      </c>
    </row>
    <row r="55" spans="1:8" ht="12.5">
      <c r="A55" s="5" t="s">
        <v>10</v>
      </c>
      <c r="B55" s="5">
        <v>3</v>
      </c>
      <c r="C55" s="7" t="s">
        <v>108</v>
      </c>
      <c r="D55" s="7" t="s">
        <v>106</v>
      </c>
      <c r="E55" s="7" t="s">
        <v>96</v>
      </c>
      <c r="F55" s="7">
        <v>1984</v>
      </c>
      <c r="H55" s="7" t="str">
        <f>IF(OR(A55="", sheet1!A$4=""), "", IF(SUM(COUNTIF(A55, "*"&amp;sheet1!A$4&amp;"*"), COUNTIF(B55, "*"&amp;sheet1!A$4&amp;"*"), COUNTIF(C55, "*"&amp;sheet1!A$4&amp;"*"), COUNTIF(D55, "*"&amp;sheet1!A$4&amp;"*"), COUNTIF(E55, "*"&amp;sheet1!A$4&amp;"*"), COUNTIF(F55, "*"&amp;sheet1!A$4&amp;"*"), COUNTIF(G55, "*"&amp;sheet1!A$4&amp;"*")) &gt; 0, MAX(H$1:H54)+1, ""))</f>
        <v/>
      </c>
    </row>
    <row r="56" spans="1:8" ht="12.5">
      <c r="A56" s="5" t="s">
        <v>10</v>
      </c>
      <c r="B56" s="5">
        <v>3</v>
      </c>
      <c r="D56" s="7" t="s">
        <v>106</v>
      </c>
      <c r="E56" s="7" t="s">
        <v>96</v>
      </c>
      <c r="F56" s="7">
        <v>1984</v>
      </c>
      <c r="H56" s="7" t="str">
        <f>IF(OR(A56="", sheet1!A$4=""), "", IF(SUM(COUNTIF(A56, "*"&amp;sheet1!A$4&amp;"*"), COUNTIF(B56, "*"&amp;sheet1!A$4&amp;"*"), COUNTIF(C56, "*"&amp;sheet1!A$4&amp;"*"), COUNTIF(D56, "*"&amp;sheet1!A$4&amp;"*"), COUNTIF(E56, "*"&amp;sheet1!A$4&amp;"*"), COUNTIF(F56, "*"&amp;sheet1!A$4&amp;"*"), COUNTIF(G56, "*"&amp;sheet1!A$4&amp;"*")) &gt; 0, MAX(H$1:H55)+1, ""))</f>
        <v/>
      </c>
    </row>
    <row r="57" spans="1:8" ht="12.5">
      <c r="A57" s="5" t="s">
        <v>10</v>
      </c>
      <c r="B57" s="5">
        <v>3</v>
      </c>
      <c r="C57" s="7" t="s">
        <v>109</v>
      </c>
      <c r="D57" s="7" t="s">
        <v>51</v>
      </c>
      <c r="E57" s="7" t="s">
        <v>52</v>
      </c>
      <c r="F57" s="7">
        <v>1985</v>
      </c>
      <c r="H57" s="7" t="str">
        <f>IF(OR(A57="", sheet1!A$4=""), "", IF(SUM(COUNTIF(A57, "*"&amp;sheet1!A$4&amp;"*"), COUNTIF(B57, "*"&amp;sheet1!A$4&amp;"*"), COUNTIF(C57, "*"&amp;sheet1!A$4&amp;"*"), COUNTIF(D57, "*"&amp;sheet1!A$4&amp;"*"), COUNTIF(E57, "*"&amp;sheet1!A$4&amp;"*"), COUNTIF(F57, "*"&amp;sheet1!A$4&amp;"*"), COUNTIF(G57, "*"&amp;sheet1!A$4&amp;"*")) &gt; 0, MAX(H$1:H56)+1, ""))</f>
        <v/>
      </c>
    </row>
    <row r="58" spans="1:8" ht="12.5">
      <c r="A58" s="5" t="s">
        <v>10</v>
      </c>
      <c r="B58" s="5">
        <v>3</v>
      </c>
      <c r="C58" s="7" t="s">
        <v>110</v>
      </c>
      <c r="D58" s="7" t="s">
        <v>20</v>
      </c>
      <c r="E58" s="7" t="s">
        <v>78</v>
      </c>
      <c r="F58" s="7">
        <v>1975</v>
      </c>
      <c r="H58" s="7" t="str">
        <f>IF(OR(A58="", sheet1!A$4=""), "", IF(SUM(COUNTIF(A58, "*"&amp;sheet1!A$4&amp;"*"), COUNTIF(B58, "*"&amp;sheet1!A$4&amp;"*"), COUNTIF(C58, "*"&amp;sheet1!A$4&amp;"*"), COUNTIF(D58, "*"&amp;sheet1!A$4&amp;"*"), COUNTIF(E58, "*"&amp;sheet1!A$4&amp;"*"), COUNTIF(F58, "*"&amp;sheet1!A$4&amp;"*"), COUNTIF(G58, "*"&amp;sheet1!A$4&amp;"*")) &gt; 0, MAX(H$1:H57)+1, ""))</f>
        <v/>
      </c>
    </row>
    <row r="59" spans="1:8" ht="12.5">
      <c r="A59" s="5" t="s">
        <v>10</v>
      </c>
      <c r="B59" s="5">
        <v>3</v>
      </c>
      <c r="C59" s="7" t="s">
        <v>111</v>
      </c>
      <c r="D59" s="7" t="s">
        <v>112</v>
      </c>
      <c r="E59" s="7" t="s">
        <v>89</v>
      </c>
      <c r="F59" s="7">
        <v>2019</v>
      </c>
      <c r="H59" s="7" t="str">
        <f>IF(OR(A59="", sheet1!A$4=""), "", IF(SUM(COUNTIF(A59, "*"&amp;sheet1!A$4&amp;"*"), COUNTIF(B59, "*"&amp;sheet1!A$4&amp;"*"), COUNTIF(C59, "*"&amp;sheet1!A$4&amp;"*"), COUNTIF(D59, "*"&amp;sheet1!A$4&amp;"*"), COUNTIF(E59, "*"&amp;sheet1!A$4&amp;"*"), COUNTIF(F59, "*"&amp;sheet1!A$4&amp;"*"), COUNTIF(G59, "*"&amp;sheet1!A$4&amp;"*")) &gt; 0, MAX(H$1:H58)+1, ""))</f>
        <v/>
      </c>
    </row>
    <row r="60" spans="1:8" ht="12.5">
      <c r="A60" s="5" t="s">
        <v>10</v>
      </c>
      <c r="B60" s="5">
        <v>3</v>
      </c>
      <c r="C60" s="7" t="s">
        <v>113</v>
      </c>
      <c r="D60" s="7" t="s">
        <v>114</v>
      </c>
      <c r="E60" s="7" t="s">
        <v>16</v>
      </c>
      <c r="F60" s="7">
        <v>1972</v>
      </c>
      <c r="H60" s="7" t="str">
        <f>IF(OR(A60="", sheet1!A$4=""), "", IF(SUM(COUNTIF(A60, "*"&amp;sheet1!A$4&amp;"*"), COUNTIF(B60, "*"&amp;sheet1!A$4&amp;"*"), COUNTIF(C60, "*"&amp;sheet1!A$4&amp;"*"), COUNTIF(D60, "*"&amp;sheet1!A$4&amp;"*"), COUNTIF(E60, "*"&amp;sheet1!A$4&amp;"*"), COUNTIF(F60, "*"&amp;sheet1!A$4&amp;"*"), COUNTIF(G60, "*"&amp;sheet1!A$4&amp;"*")) &gt; 0, MAX(H$1:H59)+1, ""))</f>
        <v/>
      </c>
    </row>
    <row r="61" spans="1:8" ht="12.5">
      <c r="A61" s="5" t="s">
        <v>10</v>
      </c>
      <c r="B61" s="5">
        <v>3</v>
      </c>
      <c r="C61" s="7" t="s">
        <v>115</v>
      </c>
      <c r="D61" s="7" t="s">
        <v>116</v>
      </c>
      <c r="E61" s="7" t="s">
        <v>117</v>
      </c>
      <c r="F61" s="7">
        <v>1988</v>
      </c>
      <c r="H61" s="7" t="str">
        <f>IF(OR(A61="", sheet1!A$4=""), "", IF(SUM(COUNTIF(A61, "*"&amp;sheet1!A$4&amp;"*"), COUNTIF(B61, "*"&amp;sheet1!A$4&amp;"*"), COUNTIF(C61, "*"&amp;sheet1!A$4&amp;"*"), COUNTIF(D61, "*"&amp;sheet1!A$4&amp;"*"), COUNTIF(E61, "*"&amp;sheet1!A$4&amp;"*"), COUNTIF(F61, "*"&amp;sheet1!A$4&amp;"*"), COUNTIF(G61, "*"&amp;sheet1!A$4&amp;"*")) &gt; 0, MAX(H$1:H60)+1, ""))</f>
        <v/>
      </c>
    </row>
    <row r="62" spans="1:8" ht="12.5">
      <c r="A62" s="5" t="s">
        <v>10</v>
      </c>
      <c r="B62" s="5">
        <v>3</v>
      </c>
      <c r="C62" s="7" t="s">
        <v>118</v>
      </c>
      <c r="D62" s="7" t="s">
        <v>119</v>
      </c>
      <c r="E62" s="7" t="s">
        <v>35</v>
      </c>
      <c r="F62" s="7">
        <v>1986</v>
      </c>
      <c r="H62" s="7" t="str">
        <f>IF(OR(A62="", sheet1!A$4=""), "", IF(SUM(COUNTIF(A62, "*"&amp;sheet1!A$4&amp;"*"), COUNTIF(B62, "*"&amp;sheet1!A$4&amp;"*"), COUNTIF(C62, "*"&amp;sheet1!A$4&amp;"*"), COUNTIF(D62, "*"&amp;sheet1!A$4&amp;"*"), COUNTIF(E62, "*"&amp;sheet1!A$4&amp;"*"), COUNTIF(F62, "*"&amp;sheet1!A$4&amp;"*"), COUNTIF(G62, "*"&amp;sheet1!A$4&amp;"*")) &gt; 0, MAX(H$1:H61)+1, ""))</f>
        <v/>
      </c>
    </row>
    <row r="63" spans="1:8" ht="12.5">
      <c r="A63" s="5" t="s">
        <v>10</v>
      </c>
      <c r="B63" s="5">
        <v>3</v>
      </c>
      <c r="C63" s="7" t="s">
        <v>120</v>
      </c>
      <c r="D63" s="7" t="s">
        <v>121</v>
      </c>
      <c r="E63" s="7" t="s">
        <v>45</v>
      </c>
      <c r="F63" s="7">
        <v>2008</v>
      </c>
      <c r="H63" s="7" t="str">
        <f>IF(OR(A63="", sheet1!A$4=""), "", IF(SUM(COUNTIF(A63, "*"&amp;sheet1!A$4&amp;"*"), COUNTIF(B63, "*"&amp;sheet1!A$4&amp;"*"), COUNTIF(C63, "*"&amp;sheet1!A$4&amp;"*"), COUNTIF(D63, "*"&amp;sheet1!A$4&amp;"*"), COUNTIF(E63, "*"&amp;sheet1!A$4&amp;"*"), COUNTIF(F63, "*"&amp;sheet1!A$4&amp;"*"), COUNTIF(G63, "*"&amp;sheet1!A$4&amp;"*")) &gt; 0, MAX(H$1:H62)+1, ""))</f>
        <v/>
      </c>
    </row>
    <row r="64" spans="1:8" ht="12.5">
      <c r="A64" s="5" t="s">
        <v>10</v>
      </c>
      <c r="B64" s="5">
        <v>3</v>
      </c>
      <c r="C64" s="7" t="s">
        <v>122</v>
      </c>
      <c r="D64" s="7" t="s">
        <v>121</v>
      </c>
      <c r="E64" s="7" t="s">
        <v>45</v>
      </c>
      <c r="F64" s="7">
        <v>2006</v>
      </c>
      <c r="H64" s="7" t="str">
        <f>IF(OR(A64="", sheet1!A$4=""), "", IF(SUM(COUNTIF(A64, "*"&amp;sheet1!A$4&amp;"*"), COUNTIF(B64, "*"&amp;sheet1!A$4&amp;"*"), COUNTIF(C64, "*"&amp;sheet1!A$4&amp;"*"), COUNTIF(D64, "*"&amp;sheet1!A$4&amp;"*"), COUNTIF(E64, "*"&amp;sheet1!A$4&amp;"*"), COUNTIF(F64, "*"&amp;sheet1!A$4&amp;"*"), COUNTIF(G64, "*"&amp;sheet1!A$4&amp;"*")) &gt; 0, MAX(H$1:H63)+1, ""))</f>
        <v/>
      </c>
    </row>
    <row r="65" spans="1:8" ht="12.5">
      <c r="A65" s="5" t="s">
        <v>10</v>
      </c>
      <c r="B65" s="5">
        <v>3</v>
      </c>
      <c r="C65" s="7" t="s">
        <v>123</v>
      </c>
      <c r="D65" s="7" t="s">
        <v>124</v>
      </c>
      <c r="E65" s="7" t="s">
        <v>16</v>
      </c>
      <c r="F65" s="7">
        <v>2012</v>
      </c>
      <c r="H65" s="7" t="str">
        <f>IF(OR(A65="", sheet1!A$4=""), "", IF(SUM(COUNTIF(A65, "*"&amp;sheet1!A$4&amp;"*"), COUNTIF(B65, "*"&amp;sheet1!A$4&amp;"*"), COUNTIF(C65, "*"&amp;sheet1!A$4&amp;"*"), COUNTIF(D65, "*"&amp;sheet1!A$4&amp;"*"), COUNTIF(E65, "*"&amp;sheet1!A$4&amp;"*"), COUNTIF(F65, "*"&amp;sheet1!A$4&amp;"*"), COUNTIF(G65, "*"&amp;sheet1!A$4&amp;"*")) &gt; 0, MAX(H$1:H64)+1, ""))</f>
        <v/>
      </c>
    </row>
    <row r="66" spans="1:8" ht="16">
      <c r="A66" s="5" t="s">
        <v>10</v>
      </c>
      <c r="B66" s="5">
        <v>3</v>
      </c>
      <c r="C66" s="7" t="s">
        <v>125</v>
      </c>
      <c r="D66" s="9" t="s">
        <v>126</v>
      </c>
      <c r="E66" s="7" t="s">
        <v>127</v>
      </c>
      <c r="F66" s="7">
        <v>1981</v>
      </c>
      <c r="H66" s="7" t="str">
        <f>IF(OR(A66="", sheet1!A$4=""), "", IF(SUM(COUNTIF(A66, "*"&amp;sheet1!A$4&amp;"*"), COUNTIF(B66, "*"&amp;sheet1!A$4&amp;"*"), COUNTIF(C66, "*"&amp;sheet1!A$4&amp;"*"), COUNTIF(D66, "*"&amp;sheet1!A$4&amp;"*"), COUNTIF(E66, "*"&amp;sheet1!A$4&amp;"*"), COUNTIF(F66, "*"&amp;sheet1!A$4&amp;"*"), COUNTIF(G66, "*"&amp;sheet1!A$4&amp;"*")) &gt; 0, MAX(H$1:H65)+1, ""))</f>
        <v/>
      </c>
    </row>
    <row r="67" spans="1:8" ht="12.5">
      <c r="A67" s="5" t="s">
        <v>10</v>
      </c>
      <c r="B67" s="5">
        <v>3</v>
      </c>
      <c r="C67" s="7" t="s">
        <v>128</v>
      </c>
      <c r="D67" s="7" t="s">
        <v>28</v>
      </c>
      <c r="E67" s="7" t="s">
        <v>38</v>
      </c>
      <c r="F67" s="7">
        <v>1988</v>
      </c>
      <c r="H67" s="7" t="str">
        <f>IF(OR(A67="", sheet1!A$4=""), "", IF(SUM(COUNTIF(A67, "*"&amp;sheet1!A$4&amp;"*"), COUNTIF(B67, "*"&amp;sheet1!A$4&amp;"*"), COUNTIF(C67, "*"&amp;sheet1!A$4&amp;"*"), COUNTIF(D67, "*"&amp;sheet1!A$4&amp;"*"), COUNTIF(E67, "*"&amp;sheet1!A$4&amp;"*"), COUNTIF(F67, "*"&amp;sheet1!A$4&amp;"*"), COUNTIF(G67, "*"&amp;sheet1!A$4&amp;"*")) &gt; 0, MAX(H$1:H66)+1, ""))</f>
        <v/>
      </c>
    </row>
    <row r="68" spans="1:8" ht="12.5">
      <c r="A68" s="5" t="s">
        <v>10</v>
      </c>
      <c r="B68" s="5">
        <v>3</v>
      </c>
      <c r="C68" s="7" t="s">
        <v>129</v>
      </c>
      <c r="D68" s="7" t="s">
        <v>20</v>
      </c>
      <c r="E68" s="7" t="s">
        <v>130</v>
      </c>
      <c r="F68" s="7">
        <v>1980</v>
      </c>
      <c r="H68" s="7" t="str">
        <f>IF(OR(A68="", sheet1!A$4=""), "", IF(SUM(COUNTIF(A68, "*"&amp;sheet1!A$4&amp;"*"), COUNTIF(B68, "*"&amp;sheet1!A$4&amp;"*"), COUNTIF(C68, "*"&amp;sheet1!A$4&amp;"*"), COUNTIF(D68, "*"&amp;sheet1!A$4&amp;"*"), COUNTIF(E68, "*"&amp;sheet1!A$4&amp;"*"), COUNTIF(F68, "*"&amp;sheet1!A$4&amp;"*"), COUNTIF(G68, "*"&amp;sheet1!A$4&amp;"*")) &gt; 0, MAX(H$1:H67)+1, ""))</f>
        <v/>
      </c>
    </row>
    <row r="69" spans="1:8" ht="12.5">
      <c r="A69" s="5" t="s">
        <v>10</v>
      </c>
      <c r="B69" s="5">
        <v>3</v>
      </c>
      <c r="C69" s="7" t="s">
        <v>131</v>
      </c>
      <c r="D69" s="7" t="s">
        <v>28</v>
      </c>
      <c r="E69" s="7" t="s">
        <v>28</v>
      </c>
      <c r="F69" s="7">
        <v>1967</v>
      </c>
      <c r="H69" s="7" t="str">
        <f>IF(OR(A69="", sheet1!A$4=""), "", IF(SUM(COUNTIF(A69, "*"&amp;sheet1!A$4&amp;"*"), COUNTIF(B69, "*"&amp;sheet1!A$4&amp;"*"), COUNTIF(C69, "*"&amp;sheet1!A$4&amp;"*"), COUNTIF(D69, "*"&amp;sheet1!A$4&amp;"*"), COUNTIF(E69, "*"&amp;sheet1!A$4&amp;"*"), COUNTIF(F69, "*"&amp;sheet1!A$4&amp;"*"), COUNTIF(G69, "*"&amp;sheet1!A$4&amp;"*")) &gt; 0, MAX(H$1:H68)+1, ""))</f>
        <v/>
      </c>
    </row>
    <row r="70" spans="1:8" ht="12.5">
      <c r="A70" s="2"/>
      <c r="B70" s="2"/>
      <c r="C70" s="7"/>
      <c r="D70" s="7"/>
      <c r="E70" s="7"/>
      <c r="F70" s="7"/>
      <c r="H70" s="7" t="str">
        <f>IF(OR(A70="", sheet1!A$4=""), "", IF(SUM(COUNTIF(A70, "*"&amp;sheet1!A$4&amp;"*"), COUNTIF(B70, "*"&amp;sheet1!A$4&amp;"*"), COUNTIF(C70, "*"&amp;sheet1!A$4&amp;"*"), COUNTIF(D70, "*"&amp;sheet1!A$4&amp;"*"), COUNTIF(E70, "*"&amp;sheet1!A$4&amp;"*"), COUNTIF(F70, "*"&amp;sheet1!A$4&amp;"*"), COUNTIF(G70, "*"&amp;sheet1!A$4&amp;"*")) &gt; 0, MAX(H$1:H69)+1, ""))</f>
        <v/>
      </c>
    </row>
    <row r="71" spans="1:8" ht="12.5">
      <c r="A71" s="5" t="s">
        <v>10</v>
      </c>
      <c r="B71" s="5">
        <v>4</v>
      </c>
      <c r="C71" s="7" t="s">
        <v>132</v>
      </c>
      <c r="D71" s="7" t="s">
        <v>133</v>
      </c>
      <c r="E71" s="7" t="s">
        <v>134</v>
      </c>
      <c r="F71" s="7">
        <v>1973</v>
      </c>
      <c r="H71" s="7" t="str">
        <f>IF(OR(A71="", sheet1!A$4=""), "", IF(SUM(COUNTIF(A71, "*"&amp;sheet1!A$4&amp;"*"), COUNTIF(B71, "*"&amp;sheet1!A$4&amp;"*"), COUNTIF(C71, "*"&amp;sheet1!A$4&amp;"*"), COUNTIF(D71, "*"&amp;sheet1!A$4&amp;"*"), COUNTIF(E71, "*"&amp;sheet1!A$4&amp;"*"), COUNTIF(F71, "*"&amp;sheet1!A$4&amp;"*"), COUNTIF(G71, "*"&amp;sheet1!A$4&amp;"*")) &gt; 0, MAX(H$1:H70)+1, ""))</f>
        <v/>
      </c>
    </row>
    <row r="72" spans="1:8" ht="12.5">
      <c r="A72" s="5" t="s">
        <v>10</v>
      </c>
      <c r="B72" s="5">
        <v>4</v>
      </c>
      <c r="C72" s="7" t="s">
        <v>135</v>
      </c>
      <c r="D72" s="7" t="s">
        <v>136</v>
      </c>
      <c r="E72" s="7" t="s">
        <v>137</v>
      </c>
      <c r="F72" s="7">
        <v>1990</v>
      </c>
      <c r="H72" s="7" t="str">
        <f>IF(OR(A72="", sheet1!A$4=""), "", IF(SUM(COUNTIF(A72, "*"&amp;sheet1!A$4&amp;"*"), COUNTIF(B72, "*"&amp;sheet1!A$4&amp;"*"), COUNTIF(C72, "*"&amp;sheet1!A$4&amp;"*"), COUNTIF(D72, "*"&amp;sheet1!A$4&amp;"*"), COUNTIF(E72, "*"&amp;sheet1!A$4&amp;"*"), COUNTIF(F72, "*"&amp;sheet1!A$4&amp;"*"), COUNTIF(G72, "*"&amp;sheet1!A$4&amp;"*")) &gt; 0, MAX(H$1:H71)+1, ""))</f>
        <v/>
      </c>
    </row>
    <row r="73" spans="1:8" ht="12.5">
      <c r="A73" s="5" t="s">
        <v>10</v>
      </c>
      <c r="B73" s="5">
        <v>4</v>
      </c>
      <c r="C73" s="7" t="s">
        <v>138</v>
      </c>
      <c r="D73" s="7" t="s">
        <v>139</v>
      </c>
      <c r="E73" s="7" t="s">
        <v>137</v>
      </c>
      <c r="F73" s="7">
        <v>1990</v>
      </c>
      <c r="H73" s="7" t="str">
        <f>IF(OR(A73="", sheet1!A$4=""), "", IF(SUM(COUNTIF(A73, "*"&amp;sheet1!A$4&amp;"*"), COUNTIF(B73, "*"&amp;sheet1!A$4&amp;"*"), COUNTIF(C73, "*"&amp;sheet1!A$4&amp;"*"), COUNTIF(D73, "*"&amp;sheet1!A$4&amp;"*"), COUNTIF(E73, "*"&amp;sheet1!A$4&amp;"*"), COUNTIF(F73, "*"&amp;sheet1!A$4&amp;"*"), COUNTIF(G73, "*"&amp;sheet1!A$4&amp;"*")) &gt; 0, MAX(H$1:H72)+1, ""))</f>
        <v/>
      </c>
    </row>
    <row r="74" spans="1:8" ht="12.5">
      <c r="A74" s="5" t="s">
        <v>10</v>
      </c>
      <c r="B74" s="5">
        <v>4</v>
      </c>
      <c r="C74" s="7" t="s">
        <v>140</v>
      </c>
      <c r="D74" s="7" t="s">
        <v>141</v>
      </c>
      <c r="E74" s="7" t="s">
        <v>137</v>
      </c>
      <c r="F74" s="7">
        <v>1990</v>
      </c>
      <c r="H74" s="7" t="str">
        <f>IF(OR(A74="", sheet1!A$4=""), "", IF(SUM(COUNTIF(A74, "*"&amp;sheet1!A$4&amp;"*"), COUNTIF(B74, "*"&amp;sheet1!A$4&amp;"*"), COUNTIF(C74, "*"&amp;sheet1!A$4&amp;"*"), COUNTIF(D74, "*"&amp;sheet1!A$4&amp;"*"), COUNTIF(E74, "*"&amp;sheet1!A$4&amp;"*"), COUNTIF(F74, "*"&amp;sheet1!A$4&amp;"*"), COUNTIF(G74, "*"&amp;sheet1!A$4&amp;"*")) &gt; 0, MAX(H$1:H73)+1, ""))</f>
        <v/>
      </c>
    </row>
    <row r="75" spans="1:8" ht="12.5">
      <c r="A75" s="5" t="s">
        <v>10</v>
      </c>
      <c r="B75" s="5">
        <v>4</v>
      </c>
      <c r="C75" s="7" t="s">
        <v>142</v>
      </c>
      <c r="D75" s="7" t="s">
        <v>143</v>
      </c>
      <c r="E75" s="7" t="s">
        <v>137</v>
      </c>
      <c r="F75" s="7">
        <v>1991</v>
      </c>
      <c r="H75" s="7" t="str">
        <f>IF(OR(A75="", sheet1!A$4=""), "", IF(SUM(COUNTIF(A75, "*"&amp;sheet1!A$4&amp;"*"), COUNTIF(B75, "*"&amp;sheet1!A$4&amp;"*"), COUNTIF(C75, "*"&amp;sheet1!A$4&amp;"*"), COUNTIF(D75, "*"&amp;sheet1!A$4&amp;"*"), COUNTIF(E75, "*"&amp;sheet1!A$4&amp;"*"), COUNTIF(F75, "*"&amp;sheet1!A$4&amp;"*"), COUNTIF(G75, "*"&amp;sheet1!A$4&amp;"*")) &gt; 0, MAX(H$1:H74)+1, ""))</f>
        <v/>
      </c>
    </row>
    <row r="76" spans="1:8" ht="12.5">
      <c r="A76" s="5" t="s">
        <v>10</v>
      </c>
      <c r="B76" s="5">
        <v>4</v>
      </c>
      <c r="C76" s="7" t="s">
        <v>144</v>
      </c>
      <c r="D76" s="7" t="s">
        <v>145</v>
      </c>
      <c r="E76" s="7" t="s">
        <v>137</v>
      </c>
      <c r="F76" s="7">
        <v>1991</v>
      </c>
      <c r="H76" s="7" t="str">
        <f>IF(OR(A76="", sheet1!A$4=""), "", IF(SUM(COUNTIF(A76, "*"&amp;sheet1!A$4&amp;"*"), COUNTIF(B76, "*"&amp;sheet1!A$4&amp;"*"), COUNTIF(C76, "*"&amp;sheet1!A$4&amp;"*"), COUNTIF(D76, "*"&amp;sheet1!A$4&amp;"*"), COUNTIF(E76, "*"&amp;sheet1!A$4&amp;"*"), COUNTIF(F76, "*"&amp;sheet1!A$4&amp;"*"), COUNTIF(G76, "*"&amp;sheet1!A$4&amp;"*")) &gt; 0, MAX(H$1:H75)+1, ""))</f>
        <v/>
      </c>
    </row>
    <row r="77" spans="1:8" ht="12.5">
      <c r="A77" s="5" t="s">
        <v>10</v>
      </c>
      <c r="B77" s="5">
        <v>4</v>
      </c>
      <c r="C77" s="7" t="s">
        <v>146</v>
      </c>
      <c r="D77" s="7" t="s">
        <v>147</v>
      </c>
      <c r="E77" s="7" t="s">
        <v>16</v>
      </c>
      <c r="F77" s="7">
        <v>1984</v>
      </c>
      <c r="H77" s="7" t="str">
        <f>IF(OR(A77="", sheet1!A$4=""), "", IF(SUM(COUNTIF(A77, "*"&amp;sheet1!A$4&amp;"*"), COUNTIF(B77, "*"&amp;sheet1!A$4&amp;"*"), COUNTIF(C77, "*"&amp;sheet1!A$4&amp;"*"), COUNTIF(D77, "*"&amp;sheet1!A$4&amp;"*"), COUNTIF(E77, "*"&amp;sheet1!A$4&amp;"*"), COUNTIF(F77, "*"&amp;sheet1!A$4&amp;"*"), COUNTIF(G77, "*"&amp;sheet1!A$4&amp;"*")) &gt; 0, MAX(H$1:H76)+1, ""))</f>
        <v/>
      </c>
    </row>
    <row r="78" spans="1:8" ht="12.5">
      <c r="A78" s="5" t="s">
        <v>10</v>
      </c>
      <c r="B78" s="5">
        <v>4</v>
      </c>
      <c r="C78" s="7" t="s">
        <v>148</v>
      </c>
      <c r="D78" s="7" t="s">
        <v>149</v>
      </c>
      <c r="E78" s="7" t="s">
        <v>150</v>
      </c>
      <c r="F78" s="7">
        <v>2010</v>
      </c>
      <c r="H78" s="7" t="str">
        <f>IF(OR(A78="", sheet1!A$4=""), "", IF(SUM(COUNTIF(A78, "*"&amp;sheet1!A$4&amp;"*"), COUNTIF(B78, "*"&amp;sheet1!A$4&amp;"*"), COUNTIF(C78, "*"&amp;sheet1!A$4&amp;"*"), COUNTIF(D78, "*"&amp;sheet1!A$4&amp;"*"), COUNTIF(E78, "*"&amp;sheet1!A$4&amp;"*"), COUNTIF(F78, "*"&amp;sheet1!A$4&amp;"*"), COUNTIF(G78, "*"&amp;sheet1!A$4&amp;"*")) &gt; 0, MAX(H$1:H77)+1, ""))</f>
        <v/>
      </c>
    </row>
    <row r="79" spans="1:8" ht="12.5">
      <c r="A79" s="5" t="s">
        <v>10</v>
      </c>
      <c r="B79" s="5">
        <v>4</v>
      </c>
      <c r="C79" s="7" t="s">
        <v>151</v>
      </c>
      <c r="D79" s="7" t="s">
        <v>152</v>
      </c>
      <c r="E79" s="7" t="s">
        <v>153</v>
      </c>
      <c r="F79" s="7">
        <v>1988</v>
      </c>
      <c r="H79" s="7" t="str">
        <f>IF(OR(A79="", sheet1!A$4=""), "", IF(SUM(COUNTIF(A79, "*"&amp;sheet1!A$4&amp;"*"), COUNTIF(B79, "*"&amp;sheet1!A$4&amp;"*"), COUNTIF(C79, "*"&amp;sheet1!A$4&amp;"*"), COUNTIF(D79, "*"&amp;sheet1!A$4&amp;"*"), COUNTIF(E79, "*"&amp;sheet1!A$4&amp;"*"), COUNTIF(F79, "*"&amp;sheet1!A$4&amp;"*"), COUNTIF(G79, "*"&amp;sheet1!A$4&amp;"*")) &gt; 0, MAX(H$1:H78)+1, ""))</f>
        <v/>
      </c>
    </row>
    <row r="80" spans="1:8" ht="16">
      <c r="A80" s="5" t="s">
        <v>10</v>
      </c>
      <c r="B80" s="5">
        <v>4</v>
      </c>
      <c r="C80" s="7" t="s">
        <v>154</v>
      </c>
      <c r="D80" s="7" t="s">
        <v>155</v>
      </c>
      <c r="E80" s="10" t="s">
        <v>156</v>
      </c>
      <c r="F80" s="7">
        <v>1978</v>
      </c>
      <c r="H80" s="7" t="str">
        <f>IF(OR(A80="", sheet1!A$4=""), "", IF(SUM(COUNTIF(A80, "*"&amp;sheet1!A$4&amp;"*"), COUNTIF(B80, "*"&amp;sheet1!A$4&amp;"*"), COUNTIF(C80, "*"&amp;sheet1!A$4&amp;"*"), COUNTIF(D80, "*"&amp;sheet1!A$4&amp;"*"), COUNTIF(E80, "*"&amp;sheet1!A$4&amp;"*"), COUNTIF(F80, "*"&amp;sheet1!A$4&amp;"*"), COUNTIF(G80, "*"&amp;sheet1!A$4&amp;"*")) &gt; 0, MAX(H$1:H79)+1, ""))</f>
        <v/>
      </c>
    </row>
    <row r="81" spans="1:8" ht="16">
      <c r="A81" s="5" t="s">
        <v>10</v>
      </c>
      <c r="B81" s="5">
        <v>4</v>
      </c>
      <c r="C81" s="7" t="s">
        <v>157</v>
      </c>
      <c r="D81" s="10" t="s">
        <v>158</v>
      </c>
      <c r="E81" s="7" t="s">
        <v>159</v>
      </c>
      <c r="F81" s="7">
        <v>1964</v>
      </c>
      <c r="H81" s="7" t="str">
        <f>IF(OR(A81="", sheet1!A$4=""), "", IF(SUM(COUNTIF(A81, "*"&amp;sheet1!A$4&amp;"*"), COUNTIF(B81, "*"&amp;sheet1!A$4&amp;"*"), COUNTIF(C81, "*"&amp;sheet1!A$4&amp;"*"), COUNTIF(D81, "*"&amp;sheet1!A$4&amp;"*"), COUNTIF(E81, "*"&amp;sheet1!A$4&amp;"*"), COUNTIF(F81, "*"&amp;sheet1!A$4&amp;"*"), COUNTIF(G81, "*"&amp;sheet1!A$4&amp;"*")) &gt; 0, MAX(H$1:H80)+1, ""))</f>
        <v/>
      </c>
    </row>
    <row r="82" spans="1:8" ht="16">
      <c r="A82" s="5" t="s">
        <v>10</v>
      </c>
      <c r="B82" s="5">
        <v>4</v>
      </c>
      <c r="C82" s="7" t="s">
        <v>160</v>
      </c>
      <c r="D82" s="10" t="s">
        <v>161</v>
      </c>
      <c r="E82" s="7" t="s">
        <v>26</v>
      </c>
      <c r="F82" s="7">
        <v>1980</v>
      </c>
      <c r="H82" s="7" t="str">
        <f>IF(OR(A82="", sheet1!A$4=""), "", IF(SUM(COUNTIF(A82, "*"&amp;sheet1!A$4&amp;"*"), COUNTIF(B82, "*"&amp;sheet1!A$4&amp;"*"), COUNTIF(C82, "*"&amp;sheet1!A$4&amp;"*"), COUNTIF(D82, "*"&amp;sheet1!A$4&amp;"*"), COUNTIF(E82, "*"&amp;sheet1!A$4&amp;"*"), COUNTIF(F82, "*"&amp;sheet1!A$4&amp;"*"), COUNTIF(G82, "*"&amp;sheet1!A$4&amp;"*")) &gt; 0, MAX(H$1:H81)+1, ""))</f>
        <v/>
      </c>
    </row>
    <row r="83" spans="1:8" ht="12.5">
      <c r="A83" s="5" t="s">
        <v>10</v>
      </c>
      <c r="B83" s="5">
        <v>4</v>
      </c>
      <c r="C83" s="7" t="s">
        <v>162</v>
      </c>
      <c r="D83" s="7" t="s">
        <v>163</v>
      </c>
      <c r="E83" s="7" t="s">
        <v>164</v>
      </c>
      <c r="F83" s="7">
        <v>1979</v>
      </c>
      <c r="H83" s="7" t="str">
        <f>IF(OR(A83="", sheet1!A$4=""), "", IF(SUM(COUNTIF(A83, "*"&amp;sheet1!A$4&amp;"*"), COUNTIF(B83, "*"&amp;sheet1!A$4&amp;"*"), COUNTIF(C83, "*"&amp;sheet1!A$4&amp;"*"), COUNTIF(D83, "*"&amp;sheet1!A$4&amp;"*"), COUNTIF(E83, "*"&amp;sheet1!A$4&amp;"*"), COUNTIF(F83, "*"&amp;sheet1!A$4&amp;"*"), COUNTIF(G83, "*"&amp;sheet1!A$4&amp;"*")) &gt; 0, MAX(H$1:H82)+1, ""))</f>
        <v/>
      </c>
    </row>
    <row r="84" spans="1:8" ht="12.5">
      <c r="A84" s="5" t="s">
        <v>10</v>
      </c>
      <c r="B84" s="5">
        <v>4</v>
      </c>
      <c r="C84" s="7" t="s">
        <v>165</v>
      </c>
      <c r="D84" s="7" t="s">
        <v>166</v>
      </c>
      <c r="E84" s="7" t="s">
        <v>167</v>
      </c>
      <c r="F84" s="7">
        <v>2001</v>
      </c>
      <c r="H84" s="7" t="str">
        <f>IF(OR(A84="", sheet1!A$4=""), "", IF(SUM(COUNTIF(A84, "*"&amp;sheet1!A$4&amp;"*"), COUNTIF(B84, "*"&amp;sheet1!A$4&amp;"*"), COUNTIF(C84, "*"&amp;sheet1!A$4&amp;"*"), COUNTIF(D84, "*"&amp;sheet1!A$4&amp;"*"), COUNTIF(E84, "*"&amp;sheet1!A$4&amp;"*"), COUNTIF(F84, "*"&amp;sheet1!A$4&amp;"*"), COUNTIF(G84, "*"&amp;sheet1!A$4&amp;"*")) &gt; 0, MAX(H$1:H83)+1, ""))</f>
        <v/>
      </c>
    </row>
    <row r="85" spans="1:8" ht="12.5">
      <c r="A85" s="5" t="s">
        <v>10</v>
      </c>
      <c r="B85" s="5">
        <v>4</v>
      </c>
      <c r="C85" s="7" t="s">
        <v>168</v>
      </c>
      <c r="D85" s="7" t="s">
        <v>28</v>
      </c>
      <c r="E85" s="7" t="s">
        <v>169</v>
      </c>
      <c r="F85" s="7">
        <v>1964</v>
      </c>
      <c r="H85" s="7" t="str">
        <f>IF(OR(A85="", sheet1!A$4=""), "", IF(SUM(COUNTIF(A85, "*"&amp;sheet1!A$4&amp;"*"), COUNTIF(B85, "*"&amp;sheet1!A$4&amp;"*"), COUNTIF(C85, "*"&amp;sheet1!A$4&amp;"*"), COUNTIF(D85, "*"&amp;sheet1!A$4&amp;"*"), COUNTIF(E85, "*"&amp;sheet1!A$4&amp;"*"), COUNTIF(F85, "*"&amp;sheet1!A$4&amp;"*"), COUNTIF(G85, "*"&amp;sheet1!A$4&amp;"*")) &gt; 0, MAX(H$1:H84)+1, ""))</f>
        <v/>
      </c>
    </row>
    <row r="86" spans="1:8" ht="12.5">
      <c r="A86" s="5" t="s">
        <v>10</v>
      </c>
      <c r="B86" s="5">
        <v>4</v>
      </c>
      <c r="C86" s="7" t="s">
        <v>170</v>
      </c>
      <c r="D86" s="7" t="s">
        <v>171</v>
      </c>
      <c r="E86" s="7" t="s">
        <v>78</v>
      </c>
      <c r="F86" s="7">
        <v>1979</v>
      </c>
      <c r="H86" s="7" t="str">
        <f>IF(OR(A86="", sheet1!A$4=""), "", IF(SUM(COUNTIF(A86, "*"&amp;sheet1!A$4&amp;"*"), COUNTIF(B86, "*"&amp;sheet1!A$4&amp;"*"), COUNTIF(C86, "*"&amp;sheet1!A$4&amp;"*"), COUNTIF(D86, "*"&amp;sheet1!A$4&amp;"*"), COUNTIF(E86, "*"&amp;sheet1!A$4&amp;"*"), COUNTIF(F86, "*"&amp;sheet1!A$4&amp;"*"), COUNTIF(G86, "*"&amp;sheet1!A$4&amp;"*")) &gt; 0, MAX(H$1:H85)+1, ""))</f>
        <v/>
      </c>
    </row>
    <row r="87" spans="1:8" ht="12.5">
      <c r="A87" s="5" t="s">
        <v>10</v>
      </c>
      <c r="B87" s="5">
        <v>4</v>
      </c>
      <c r="C87" s="7" t="s">
        <v>172</v>
      </c>
      <c r="D87" s="7" t="s">
        <v>173</v>
      </c>
      <c r="E87" s="7" t="s">
        <v>174</v>
      </c>
      <c r="F87" s="7">
        <v>1986</v>
      </c>
      <c r="H87" s="7" t="str">
        <f>IF(OR(A87="", sheet1!A$4=""), "", IF(SUM(COUNTIF(A87, "*"&amp;sheet1!A$4&amp;"*"), COUNTIF(B87, "*"&amp;sheet1!A$4&amp;"*"), COUNTIF(C87, "*"&amp;sheet1!A$4&amp;"*"), COUNTIF(D87, "*"&amp;sheet1!A$4&amp;"*"), COUNTIF(E87, "*"&amp;sheet1!A$4&amp;"*"), COUNTIF(F87, "*"&amp;sheet1!A$4&amp;"*"), COUNTIF(G87, "*"&amp;sheet1!A$4&amp;"*")) &gt; 0, MAX(H$1:H86)+1, ""))</f>
        <v/>
      </c>
    </row>
    <row r="88" spans="1:8" ht="12.5">
      <c r="A88" s="5" t="s">
        <v>10</v>
      </c>
      <c r="B88" s="5">
        <v>4</v>
      </c>
      <c r="C88" s="11" t="s">
        <v>175</v>
      </c>
      <c r="D88" s="7" t="s">
        <v>28</v>
      </c>
      <c r="E88" s="7" t="s">
        <v>38</v>
      </c>
      <c r="F88" s="7">
        <v>1983</v>
      </c>
      <c r="H88" s="7" t="str">
        <f>IF(OR(A88="", sheet1!A$4=""), "", IF(SUM(COUNTIF(A88, "*"&amp;sheet1!A$4&amp;"*"), COUNTIF(B88, "*"&amp;sheet1!A$4&amp;"*"), COUNTIF(C88, "*"&amp;sheet1!A$4&amp;"*"), COUNTIF(D88, "*"&amp;sheet1!A$4&amp;"*"), COUNTIF(E88, "*"&amp;sheet1!A$4&amp;"*"), COUNTIF(F88, "*"&amp;sheet1!A$4&amp;"*"), COUNTIF(G88, "*"&amp;sheet1!A$4&amp;"*")) &gt; 0, MAX(H$1:H87)+1, ""))</f>
        <v/>
      </c>
    </row>
    <row r="89" spans="1:8" ht="12.5">
      <c r="A89" s="5" t="s">
        <v>10</v>
      </c>
      <c r="B89" s="5">
        <v>4</v>
      </c>
      <c r="C89" s="7" t="s">
        <v>176</v>
      </c>
      <c r="D89" s="7" t="s">
        <v>177</v>
      </c>
      <c r="E89" s="12" t="s">
        <v>178</v>
      </c>
      <c r="F89" s="7">
        <v>1984</v>
      </c>
      <c r="H89" s="7" t="str">
        <f>IF(OR(A89="", sheet1!A$4=""), "", IF(SUM(COUNTIF(A89, "*"&amp;sheet1!A$4&amp;"*"), COUNTIF(B89, "*"&amp;sheet1!A$4&amp;"*"), COUNTIF(C89, "*"&amp;sheet1!A$4&amp;"*"), COUNTIF(D89, "*"&amp;sheet1!A$4&amp;"*"), COUNTIF(E89, "*"&amp;sheet1!A$4&amp;"*"), COUNTIF(F89, "*"&amp;sheet1!A$4&amp;"*"), COUNTIF(G89, "*"&amp;sheet1!A$4&amp;"*")) &gt; 0, MAX(H$1:H88)+1, ""))</f>
        <v/>
      </c>
    </row>
    <row r="90" spans="1:8" ht="12.5">
      <c r="A90" s="5" t="s">
        <v>10</v>
      </c>
      <c r="B90" s="5">
        <v>4</v>
      </c>
      <c r="C90" s="7" t="s">
        <v>179</v>
      </c>
      <c r="D90" s="11" t="s">
        <v>180</v>
      </c>
      <c r="E90" s="13" t="s">
        <v>181</v>
      </c>
      <c r="F90" s="7">
        <v>1988</v>
      </c>
      <c r="H90" s="7" t="str">
        <f>IF(OR(A90="", sheet1!A$4=""), "", IF(SUM(COUNTIF(A90, "*"&amp;sheet1!A$4&amp;"*"), COUNTIF(B90, "*"&amp;sheet1!A$4&amp;"*"), COUNTIF(C90, "*"&amp;sheet1!A$4&amp;"*"), COUNTIF(D90, "*"&amp;sheet1!A$4&amp;"*"), COUNTIF(E90, "*"&amp;sheet1!A$4&amp;"*"), COUNTIF(F90, "*"&amp;sheet1!A$4&amp;"*"), COUNTIF(G90, "*"&amp;sheet1!A$4&amp;"*")) &gt; 0, MAX(H$1:H89)+1, ""))</f>
        <v/>
      </c>
    </row>
    <row r="91" spans="1:8" ht="14">
      <c r="A91" s="5" t="s">
        <v>10</v>
      </c>
      <c r="B91" s="5">
        <v>4</v>
      </c>
      <c r="C91" s="7" t="s">
        <v>182</v>
      </c>
      <c r="D91" s="14" t="s">
        <v>20</v>
      </c>
      <c r="E91" s="7" t="s">
        <v>183</v>
      </c>
      <c r="F91" s="7">
        <v>1995</v>
      </c>
      <c r="H91" s="7" t="str">
        <f>IF(OR(A91="", sheet1!A$4=""), "", IF(SUM(COUNTIF(A91, "*"&amp;sheet1!A$4&amp;"*"), COUNTIF(B91, "*"&amp;sheet1!A$4&amp;"*"), COUNTIF(C91, "*"&amp;sheet1!A$4&amp;"*"), COUNTIF(D91, "*"&amp;sheet1!A$4&amp;"*"), COUNTIF(E91, "*"&amp;sheet1!A$4&amp;"*"), COUNTIF(F91, "*"&amp;sheet1!A$4&amp;"*"), COUNTIF(G91, "*"&amp;sheet1!A$4&amp;"*")) &gt; 0, MAX(H$1:H90)+1, ""))</f>
        <v/>
      </c>
    </row>
    <row r="92" spans="1:8" ht="12.5">
      <c r="A92" s="5" t="s">
        <v>10</v>
      </c>
      <c r="B92" s="5">
        <v>4</v>
      </c>
      <c r="C92" s="7" t="s">
        <v>184</v>
      </c>
      <c r="D92" s="7" t="s">
        <v>185</v>
      </c>
      <c r="E92" s="7" t="s">
        <v>96</v>
      </c>
      <c r="F92" s="7">
        <v>1959</v>
      </c>
      <c r="H92" s="7" t="str">
        <f>IF(OR(A92="", sheet1!A$4=""), "", IF(SUM(COUNTIF(A92, "*"&amp;sheet1!A$4&amp;"*"), COUNTIF(B92, "*"&amp;sheet1!A$4&amp;"*"), COUNTIF(C92, "*"&amp;sheet1!A$4&amp;"*"), COUNTIF(D92, "*"&amp;sheet1!A$4&amp;"*"), COUNTIF(E92, "*"&amp;sheet1!A$4&amp;"*"), COUNTIF(F92, "*"&amp;sheet1!A$4&amp;"*"), COUNTIF(G92, "*"&amp;sheet1!A$4&amp;"*")) &gt; 0, MAX(H$1:H91)+1, ""))</f>
        <v/>
      </c>
    </row>
    <row r="93" spans="1:8" ht="12.5">
      <c r="A93" s="5" t="s">
        <v>10</v>
      </c>
      <c r="B93" s="5">
        <v>4</v>
      </c>
      <c r="C93" s="7" t="s">
        <v>186</v>
      </c>
      <c r="D93" s="7" t="s">
        <v>25</v>
      </c>
      <c r="E93" s="7" t="s">
        <v>187</v>
      </c>
      <c r="F93" s="7">
        <v>1986</v>
      </c>
      <c r="H93" s="7" t="str">
        <f>IF(OR(A93="", sheet1!A$4=""), "", IF(SUM(COUNTIF(A93, "*"&amp;sheet1!A$4&amp;"*"), COUNTIF(B93, "*"&amp;sheet1!A$4&amp;"*"), COUNTIF(C93, "*"&amp;sheet1!A$4&amp;"*"), COUNTIF(D93, "*"&amp;sheet1!A$4&amp;"*"), COUNTIF(E93, "*"&amp;sheet1!A$4&amp;"*"), COUNTIF(F93, "*"&amp;sheet1!A$4&amp;"*"), COUNTIF(G93, "*"&amp;sheet1!A$4&amp;"*")) &gt; 0, MAX(H$1:H92)+1, ""))</f>
        <v/>
      </c>
    </row>
    <row r="94" spans="1:8" ht="12.5">
      <c r="A94" s="5" t="s">
        <v>10</v>
      </c>
      <c r="B94" s="5">
        <v>4</v>
      </c>
      <c r="C94" s="7" t="s">
        <v>188</v>
      </c>
      <c r="D94" s="7" t="s">
        <v>20</v>
      </c>
      <c r="E94" s="7" t="s">
        <v>20</v>
      </c>
      <c r="F94" s="7">
        <v>1968</v>
      </c>
      <c r="H94" s="7" t="str">
        <f>IF(OR(A94="", sheet1!A$4=""), "", IF(SUM(COUNTIF(A94, "*"&amp;sheet1!A$4&amp;"*"), COUNTIF(B94, "*"&amp;sheet1!A$4&amp;"*"), COUNTIF(C94, "*"&amp;sheet1!A$4&amp;"*"), COUNTIF(D94, "*"&amp;sheet1!A$4&amp;"*"), COUNTIF(E94, "*"&amp;sheet1!A$4&amp;"*"), COUNTIF(F94, "*"&amp;sheet1!A$4&amp;"*"), COUNTIF(G94, "*"&amp;sheet1!A$4&amp;"*")) &gt; 0, MAX(H$1:H93)+1, ""))</f>
        <v/>
      </c>
    </row>
    <row r="95" spans="1:8" ht="12.5">
      <c r="A95" s="5" t="s">
        <v>10</v>
      </c>
      <c r="B95" s="5">
        <v>4</v>
      </c>
      <c r="C95" s="7" t="s">
        <v>189</v>
      </c>
      <c r="D95" s="7" t="s">
        <v>190</v>
      </c>
      <c r="E95" s="7" t="s">
        <v>169</v>
      </c>
      <c r="F95" s="7">
        <v>1984</v>
      </c>
      <c r="H95" s="7" t="str">
        <f>IF(OR(A95="", sheet1!A$4=""), "", IF(SUM(COUNTIF(A95, "*"&amp;sheet1!A$4&amp;"*"), COUNTIF(B95, "*"&amp;sheet1!A$4&amp;"*"), COUNTIF(C95, "*"&amp;sheet1!A$4&amp;"*"), COUNTIF(D95, "*"&amp;sheet1!A$4&amp;"*"), COUNTIF(E95, "*"&amp;sheet1!A$4&amp;"*"), COUNTIF(F95, "*"&amp;sheet1!A$4&amp;"*"), COUNTIF(G95, "*"&amp;sheet1!A$4&amp;"*")) &gt; 0, MAX(H$1:H94)+1, ""))</f>
        <v/>
      </c>
    </row>
    <row r="96" spans="1:8" ht="12.5">
      <c r="A96" s="5" t="s">
        <v>10</v>
      </c>
      <c r="B96" s="5">
        <v>4</v>
      </c>
      <c r="C96" s="7" t="s">
        <v>191</v>
      </c>
      <c r="D96" s="15" t="s">
        <v>192</v>
      </c>
      <c r="E96" s="7" t="s">
        <v>78</v>
      </c>
      <c r="F96" s="7">
        <v>1984</v>
      </c>
      <c r="G96" s="7" t="s">
        <v>193</v>
      </c>
      <c r="H96" s="7" t="str">
        <f>IF(OR(A96="", sheet1!A$4=""), "", IF(SUM(COUNTIF(A96, "*"&amp;sheet1!A$4&amp;"*"), COUNTIF(B96, "*"&amp;sheet1!A$4&amp;"*"), COUNTIF(C96, "*"&amp;sheet1!A$4&amp;"*"), COUNTIF(D96, "*"&amp;sheet1!A$4&amp;"*"), COUNTIF(E96, "*"&amp;sheet1!A$4&amp;"*"), COUNTIF(F96, "*"&amp;sheet1!A$4&amp;"*"), COUNTIF(G96, "*"&amp;sheet1!A$4&amp;"*")) &gt; 0, MAX(H$1:H95)+1, ""))</f>
        <v/>
      </c>
    </row>
    <row r="97" spans="1:8" ht="12.5">
      <c r="A97" s="2"/>
      <c r="B97" s="2"/>
      <c r="H97" s="7" t="str">
        <f>IF(OR(A97="", sheet1!A$4=""), "", IF(SUM(COUNTIF(A97, "*"&amp;sheet1!A$4&amp;"*"), COUNTIF(B97, "*"&amp;sheet1!A$4&amp;"*"), COUNTIF(C97, "*"&amp;sheet1!A$4&amp;"*"), COUNTIF(D97, "*"&amp;sheet1!A$4&amp;"*"), COUNTIF(E97, "*"&amp;sheet1!A$4&amp;"*"), COUNTIF(F97, "*"&amp;sheet1!A$4&amp;"*"), COUNTIF(G97, "*"&amp;sheet1!A$4&amp;"*")) &gt; 0, MAX(H$1:H96)+1, ""))</f>
        <v/>
      </c>
    </row>
    <row r="98" spans="1:8" ht="12.5">
      <c r="A98" s="5" t="s">
        <v>10</v>
      </c>
      <c r="B98" s="5">
        <v>5</v>
      </c>
      <c r="C98" s="7" t="s">
        <v>194</v>
      </c>
      <c r="D98" s="7" t="s">
        <v>195</v>
      </c>
      <c r="E98" s="7" t="s">
        <v>195</v>
      </c>
      <c r="F98" s="7">
        <v>1963</v>
      </c>
      <c r="H98" s="7" t="str">
        <f>IF(OR(A98="", sheet1!A$4=""), "", IF(SUM(COUNTIF(A98, "*"&amp;sheet1!A$4&amp;"*"), COUNTIF(B98, "*"&amp;sheet1!A$4&amp;"*"), COUNTIF(C98, "*"&amp;sheet1!A$4&amp;"*"), COUNTIF(D98, "*"&amp;sheet1!A$4&amp;"*"), COUNTIF(E98, "*"&amp;sheet1!A$4&amp;"*"), COUNTIF(F98, "*"&amp;sheet1!A$4&amp;"*"), COUNTIF(G98, "*"&amp;sheet1!A$4&amp;"*")) &gt; 0, MAX(H$1:H97)+1, ""))</f>
        <v/>
      </c>
    </row>
    <row r="99" spans="1:8" ht="12.5">
      <c r="A99" s="5" t="s">
        <v>10</v>
      </c>
      <c r="B99" s="5">
        <v>5</v>
      </c>
      <c r="C99" s="7" t="s">
        <v>196</v>
      </c>
      <c r="D99" s="7" t="s">
        <v>195</v>
      </c>
      <c r="E99" s="7" t="s">
        <v>195</v>
      </c>
      <c r="F99" s="7">
        <v>1961</v>
      </c>
      <c r="H99" s="7" t="str">
        <f>IF(OR(A99="", sheet1!A$4=""), "", IF(SUM(COUNTIF(A99, "*"&amp;sheet1!A$4&amp;"*"), COUNTIF(B99, "*"&amp;sheet1!A$4&amp;"*"), COUNTIF(C99, "*"&amp;sheet1!A$4&amp;"*"), COUNTIF(D99, "*"&amp;sheet1!A$4&amp;"*"), COUNTIF(E99, "*"&amp;sheet1!A$4&amp;"*"), COUNTIF(F99, "*"&amp;sheet1!A$4&amp;"*"), COUNTIF(G99, "*"&amp;sheet1!A$4&amp;"*")) &gt; 0, MAX(H$1:H98)+1, ""))</f>
        <v/>
      </c>
    </row>
    <row r="100" spans="1:8" ht="12.5">
      <c r="A100" s="5" t="s">
        <v>10</v>
      </c>
      <c r="B100" s="5">
        <v>5</v>
      </c>
      <c r="C100" s="7" t="s">
        <v>197</v>
      </c>
      <c r="D100" s="7" t="s">
        <v>195</v>
      </c>
      <c r="E100" s="7" t="s">
        <v>195</v>
      </c>
      <c r="F100" s="7">
        <v>1959</v>
      </c>
      <c r="H100" s="7" t="str">
        <f>IF(OR(A100="", sheet1!A$4=""), "", IF(SUM(COUNTIF(A100, "*"&amp;sheet1!A$4&amp;"*"), COUNTIF(B100, "*"&amp;sheet1!A$4&amp;"*"), COUNTIF(C100, "*"&amp;sheet1!A$4&amp;"*"), COUNTIF(D100, "*"&amp;sheet1!A$4&amp;"*"), COUNTIF(E100, "*"&amp;sheet1!A$4&amp;"*"), COUNTIF(F100, "*"&amp;sheet1!A$4&amp;"*"), COUNTIF(G100, "*"&amp;sheet1!A$4&amp;"*")) &gt; 0, MAX(H$1:H99)+1, ""))</f>
        <v/>
      </c>
    </row>
    <row r="101" spans="1:8" ht="12.5">
      <c r="A101" s="5" t="s">
        <v>10</v>
      </c>
      <c r="B101" s="5">
        <v>5</v>
      </c>
      <c r="C101" s="7" t="s">
        <v>198</v>
      </c>
      <c r="D101" s="7" t="s">
        <v>195</v>
      </c>
      <c r="E101" s="7" t="s">
        <v>195</v>
      </c>
      <c r="F101" s="7">
        <v>1959</v>
      </c>
      <c r="H101" s="7" t="str">
        <f>IF(OR(A101="", sheet1!A$4=""), "", IF(SUM(COUNTIF(A101, "*"&amp;sheet1!A$4&amp;"*"), COUNTIF(B101, "*"&amp;sheet1!A$4&amp;"*"), COUNTIF(C101, "*"&amp;sheet1!A$4&amp;"*"), COUNTIF(D101, "*"&amp;sheet1!A$4&amp;"*"), COUNTIF(E101, "*"&amp;sheet1!A$4&amp;"*"), COUNTIF(F101, "*"&amp;sheet1!A$4&amp;"*"), COUNTIF(G101, "*"&amp;sheet1!A$4&amp;"*")) &gt; 0, MAX(H$1:H100)+1, ""))</f>
        <v/>
      </c>
    </row>
    <row r="102" spans="1:8" ht="12.5">
      <c r="A102" s="5" t="s">
        <v>10</v>
      </c>
      <c r="B102" s="5">
        <v>5</v>
      </c>
      <c r="C102" s="7" t="s">
        <v>199</v>
      </c>
      <c r="D102" s="7" t="s">
        <v>25</v>
      </c>
      <c r="E102" s="7" t="s">
        <v>78</v>
      </c>
      <c r="F102" s="7">
        <v>1974</v>
      </c>
      <c r="H102" s="7" t="str">
        <f>IF(OR(A102="", sheet1!A$4=""), "", IF(SUM(COUNTIF(A102, "*"&amp;sheet1!A$4&amp;"*"), COUNTIF(B102, "*"&amp;sheet1!A$4&amp;"*"), COUNTIF(C102, "*"&amp;sheet1!A$4&amp;"*"), COUNTIF(D102, "*"&amp;sheet1!A$4&amp;"*"), COUNTIF(E102, "*"&amp;sheet1!A$4&amp;"*"), COUNTIF(F102, "*"&amp;sheet1!A$4&amp;"*"), COUNTIF(G102, "*"&amp;sheet1!A$4&amp;"*")) &gt; 0, MAX(H$1:H101)+1, ""))</f>
        <v/>
      </c>
    </row>
    <row r="103" spans="1:8" ht="12.5">
      <c r="A103" s="5" t="s">
        <v>10</v>
      </c>
      <c r="B103" s="5">
        <v>5</v>
      </c>
      <c r="C103" s="7" t="s">
        <v>200</v>
      </c>
      <c r="D103" s="7" t="s">
        <v>201</v>
      </c>
      <c r="E103" s="7" t="s">
        <v>78</v>
      </c>
      <c r="F103" s="7">
        <v>1985</v>
      </c>
      <c r="H103" s="7" t="str">
        <f>IF(OR(A103="", sheet1!A$4=""), "", IF(SUM(COUNTIF(A103, "*"&amp;sheet1!A$4&amp;"*"), COUNTIF(B103, "*"&amp;sheet1!A$4&amp;"*"), COUNTIF(C103, "*"&amp;sheet1!A$4&amp;"*"), COUNTIF(D103, "*"&amp;sheet1!A$4&amp;"*"), COUNTIF(E103, "*"&amp;sheet1!A$4&amp;"*"), COUNTIF(F103, "*"&amp;sheet1!A$4&amp;"*"), COUNTIF(G103, "*"&amp;sheet1!A$4&amp;"*")) &gt; 0, MAX(H$1:H102)+1, ""))</f>
        <v/>
      </c>
    </row>
    <row r="104" spans="1:8" ht="12.5">
      <c r="A104" s="5" t="s">
        <v>10</v>
      </c>
      <c r="B104" s="5">
        <v>5</v>
      </c>
      <c r="C104" s="7" t="s">
        <v>202</v>
      </c>
      <c r="D104" s="7" t="s">
        <v>203</v>
      </c>
      <c r="E104" s="7" t="s">
        <v>21</v>
      </c>
      <c r="F104" s="7">
        <v>1982</v>
      </c>
      <c r="H104" s="7" t="str">
        <f>IF(OR(A104="", sheet1!A$4=""), "", IF(SUM(COUNTIF(A104, "*"&amp;sheet1!A$4&amp;"*"), COUNTIF(B104, "*"&amp;sheet1!A$4&amp;"*"), COUNTIF(C104, "*"&amp;sheet1!A$4&amp;"*"), COUNTIF(D104, "*"&amp;sheet1!A$4&amp;"*"), COUNTIF(E104, "*"&amp;sheet1!A$4&amp;"*"), COUNTIF(F104, "*"&amp;sheet1!A$4&amp;"*"), COUNTIF(G104, "*"&amp;sheet1!A$4&amp;"*")) &gt; 0, MAX(H$1:H103)+1, ""))</f>
        <v/>
      </c>
    </row>
    <row r="105" spans="1:8" ht="12.5">
      <c r="A105" s="5" t="s">
        <v>10</v>
      </c>
      <c r="B105" s="5">
        <v>5</v>
      </c>
      <c r="C105" s="7" t="s">
        <v>204</v>
      </c>
      <c r="D105" s="7" t="s">
        <v>205</v>
      </c>
      <c r="E105" s="7" t="s">
        <v>38</v>
      </c>
      <c r="F105" s="7">
        <v>1996</v>
      </c>
      <c r="H105" s="7" t="str">
        <f>IF(OR(A105="", sheet1!A$4=""), "", IF(SUM(COUNTIF(A105, "*"&amp;sheet1!A$4&amp;"*"), COUNTIF(B105, "*"&amp;sheet1!A$4&amp;"*"), COUNTIF(C105, "*"&amp;sheet1!A$4&amp;"*"), COUNTIF(D105, "*"&amp;sheet1!A$4&amp;"*"), COUNTIF(E105, "*"&amp;sheet1!A$4&amp;"*"), COUNTIF(F105, "*"&amp;sheet1!A$4&amp;"*"), COUNTIF(G105, "*"&amp;sheet1!A$4&amp;"*")) &gt; 0, MAX(H$1:H104)+1, ""))</f>
        <v/>
      </c>
    </row>
    <row r="106" spans="1:8" ht="12.5">
      <c r="A106" s="5" t="s">
        <v>10</v>
      </c>
      <c r="B106" s="5">
        <v>5</v>
      </c>
      <c r="C106" s="7" t="s">
        <v>206</v>
      </c>
      <c r="D106" s="7" t="s">
        <v>25</v>
      </c>
      <c r="E106" s="7" t="s">
        <v>207</v>
      </c>
      <c r="F106" s="7">
        <v>1979</v>
      </c>
      <c r="H106" s="7" t="str">
        <f>IF(OR(A106="", sheet1!A$4=""), "", IF(SUM(COUNTIF(A106, "*"&amp;sheet1!A$4&amp;"*"), COUNTIF(B106, "*"&amp;sheet1!A$4&amp;"*"), COUNTIF(C106, "*"&amp;sheet1!A$4&amp;"*"), COUNTIF(D106, "*"&amp;sheet1!A$4&amp;"*"), COUNTIF(E106, "*"&amp;sheet1!A$4&amp;"*"), COUNTIF(F106, "*"&amp;sheet1!A$4&amp;"*"), COUNTIF(G106, "*"&amp;sheet1!A$4&amp;"*")) &gt; 0, MAX(H$1:H105)+1, ""))</f>
        <v/>
      </c>
    </row>
    <row r="107" spans="1:8" ht="12.5">
      <c r="A107" s="5" t="s">
        <v>10</v>
      </c>
      <c r="B107" s="5">
        <v>5</v>
      </c>
      <c r="C107" s="7" t="s">
        <v>208</v>
      </c>
      <c r="D107" s="7" t="s">
        <v>209</v>
      </c>
      <c r="E107" s="7" t="s">
        <v>210</v>
      </c>
      <c r="F107" s="7">
        <v>1981</v>
      </c>
      <c r="H107" s="7" t="str">
        <f>IF(OR(A107="", sheet1!A$4=""), "", IF(SUM(COUNTIF(A107, "*"&amp;sheet1!A$4&amp;"*"), COUNTIF(B107, "*"&amp;sheet1!A$4&amp;"*"), COUNTIF(C107, "*"&amp;sheet1!A$4&amp;"*"), COUNTIF(D107, "*"&amp;sheet1!A$4&amp;"*"), COUNTIF(E107, "*"&amp;sheet1!A$4&amp;"*"), COUNTIF(F107, "*"&amp;sheet1!A$4&amp;"*"), COUNTIF(G107, "*"&amp;sheet1!A$4&amp;"*")) &gt; 0, MAX(H$1:H106)+1, ""))</f>
        <v/>
      </c>
    </row>
    <row r="108" spans="1:8" ht="12.5">
      <c r="A108" s="5" t="s">
        <v>10</v>
      </c>
      <c r="B108" s="5">
        <v>5</v>
      </c>
      <c r="C108" s="7" t="s">
        <v>211</v>
      </c>
      <c r="D108" s="7" t="s">
        <v>28</v>
      </c>
      <c r="E108" s="7" t="s">
        <v>178</v>
      </c>
      <c r="F108" s="7">
        <v>1981</v>
      </c>
      <c r="H108" s="7" t="str">
        <f>IF(OR(A108="", sheet1!A$4=""), "", IF(SUM(COUNTIF(A108, "*"&amp;sheet1!A$4&amp;"*"), COUNTIF(B108, "*"&amp;sheet1!A$4&amp;"*"), COUNTIF(C108, "*"&amp;sheet1!A$4&amp;"*"), COUNTIF(D108, "*"&amp;sheet1!A$4&amp;"*"), COUNTIF(E108, "*"&amp;sheet1!A$4&amp;"*"), COUNTIF(F108, "*"&amp;sheet1!A$4&amp;"*"), COUNTIF(G108, "*"&amp;sheet1!A$4&amp;"*")) &gt; 0, MAX(H$1:H107)+1, ""))</f>
        <v/>
      </c>
    </row>
    <row r="109" spans="1:8" ht="12.5">
      <c r="A109" s="5" t="s">
        <v>10</v>
      </c>
      <c r="B109" s="5">
        <v>5</v>
      </c>
      <c r="C109" s="7" t="s">
        <v>212</v>
      </c>
      <c r="D109" s="7" t="s">
        <v>213</v>
      </c>
      <c r="E109" s="7" t="s">
        <v>214</v>
      </c>
      <c r="F109" s="7">
        <v>1989</v>
      </c>
      <c r="H109" s="7" t="str">
        <f>IF(OR(A109="", sheet1!A$4=""), "", IF(SUM(COUNTIF(A109, "*"&amp;sheet1!A$4&amp;"*"), COUNTIF(B109, "*"&amp;sheet1!A$4&amp;"*"), COUNTIF(C109, "*"&amp;sheet1!A$4&amp;"*"), COUNTIF(D109, "*"&amp;sheet1!A$4&amp;"*"), COUNTIF(E109, "*"&amp;sheet1!A$4&amp;"*"), COUNTIF(F109, "*"&amp;sheet1!A$4&amp;"*"), COUNTIF(G109, "*"&amp;sheet1!A$4&amp;"*")) &gt; 0, MAX(H$1:H108)+1, ""))</f>
        <v/>
      </c>
    </row>
    <row r="110" spans="1:8" ht="12.5">
      <c r="A110" s="5" t="s">
        <v>10</v>
      </c>
      <c r="B110" s="5">
        <v>5</v>
      </c>
      <c r="C110" s="7" t="s">
        <v>215</v>
      </c>
      <c r="D110" s="7" t="s">
        <v>216</v>
      </c>
      <c r="E110" s="7" t="s">
        <v>49</v>
      </c>
      <c r="F110" s="7">
        <v>1958</v>
      </c>
      <c r="H110" s="7" t="str">
        <f>IF(OR(A110="", sheet1!A$4=""), "", IF(SUM(COUNTIF(A110, "*"&amp;sheet1!A$4&amp;"*"), COUNTIF(B110, "*"&amp;sheet1!A$4&amp;"*"), COUNTIF(C110, "*"&amp;sheet1!A$4&amp;"*"), COUNTIF(D110, "*"&amp;sheet1!A$4&amp;"*"), COUNTIF(E110, "*"&amp;sheet1!A$4&amp;"*"), COUNTIF(F110, "*"&amp;sheet1!A$4&amp;"*"), COUNTIF(G110, "*"&amp;sheet1!A$4&amp;"*")) &gt; 0, MAX(H$1:H109)+1, ""))</f>
        <v/>
      </c>
    </row>
    <row r="111" spans="1:8" ht="12.5">
      <c r="A111" s="5" t="s">
        <v>10</v>
      </c>
      <c r="B111" s="5">
        <v>5</v>
      </c>
      <c r="C111" s="7" t="s">
        <v>217</v>
      </c>
      <c r="D111" s="7" t="s">
        <v>32</v>
      </c>
      <c r="E111" s="7" t="s">
        <v>49</v>
      </c>
      <c r="F111" s="7">
        <v>1972</v>
      </c>
      <c r="H111" s="7" t="str">
        <f>IF(OR(A111="", sheet1!A$4=""), "", IF(SUM(COUNTIF(A111, "*"&amp;sheet1!A$4&amp;"*"), COUNTIF(B111, "*"&amp;sheet1!A$4&amp;"*"), COUNTIF(C111, "*"&amp;sheet1!A$4&amp;"*"), COUNTIF(D111, "*"&amp;sheet1!A$4&amp;"*"), COUNTIF(E111, "*"&amp;sheet1!A$4&amp;"*"), COUNTIF(F111, "*"&amp;sheet1!A$4&amp;"*"), COUNTIF(G111, "*"&amp;sheet1!A$4&amp;"*")) &gt; 0, MAX(H$1:H110)+1, ""))</f>
        <v/>
      </c>
    </row>
    <row r="112" spans="1:8" ht="12.5">
      <c r="A112" s="5" t="s">
        <v>10</v>
      </c>
      <c r="B112" s="5">
        <v>5</v>
      </c>
      <c r="C112" s="16" t="s">
        <v>218</v>
      </c>
      <c r="D112" s="7" t="s">
        <v>219</v>
      </c>
      <c r="E112" s="7" t="s">
        <v>96</v>
      </c>
      <c r="F112" s="7">
        <v>1942</v>
      </c>
      <c r="H112" s="7" t="str">
        <f>IF(OR(A112="", sheet1!A$4=""), "", IF(SUM(COUNTIF(A112, "*"&amp;sheet1!A$4&amp;"*"), COUNTIF(B112, "*"&amp;sheet1!A$4&amp;"*"), COUNTIF(C112, "*"&amp;sheet1!A$4&amp;"*"), COUNTIF(D112, "*"&amp;sheet1!A$4&amp;"*"), COUNTIF(E112, "*"&amp;sheet1!A$4&amp;"*"), COUNTIF(F112, "*"&amp;sheet1!A$4&amp;"*"), COUNTIF(G112, "*"&amp;sheet1!A$4&amp;"*")) &gt; 0, MAX(H$1:H111)+1, ""))</f>
        <v/>
      </c>
    </row>
    <row r="113" spans="1:8" ht="16">
      <c r="A113" s="5" t="s">
        <v>10</v>
      </c>
      <c r="B113" s="5">
        <v>5</v>
      </c>
      <c r="C113" s="7" t="s">
        <v>220</v>
      </c>
      <c r="D113" s="9" t="s">
        <v>221</v>
      </c>
      <c r="E113" s="7" t="s">
        <v>74</v>
      </c>
      <c r="F113" s="7">
        <v>1979</v>
      </c>
      <c r="H113" s="7" t="str">
        <f>IF(OR(A113="", sheet1!A$4=""), "", IF(SUM(COUNTIF(A113, "*"&amp;sheet1!A$4&amp;"*"), COUNTIF(B113, "*"&amp;sheet1!A$4&amp;"*"), COUNTIF(C113, "*"&amp;sheet1!A$4&amp;"*"), COUNTIF(D113, "*"&amp;sheet1!A$4&amp;"*"), COUNTIF(E113, "*"&amp;sheet1!A$4&amp;"*"), COUNTIF(F113, "*"&amp;sheet1!A$4&amp;"*"), COUNTIF(G113, "*"&amp;sheet1!A$4&amp;"*")) &gt; 0, MAX(H$1:H112)+1, ""))</f>
        <v/>
      </c>
    </row>
    <row r="114" spans="1:8" ht="12.5">
      <c r="A114" s="5" t="s">
        <v>10</v>
      </c>
      <c r="B114" s="5">
        <v>5</v>
      </c>
      <c r="C114" s="7" t="s">
        <v>222</v>
      </c>
      <c r="D114" s="7" t="s">
        <v>221</v>
      </c>
      <c r="E114" s="7" t="s">
        <v>74</v>
      </c>
      <c r="F114" s="7">
        <v>1980</v>
      </c>
      <c r="H114" s="7" t="str">
        <f>IF(OR(A114="", sheet1!A$4=""), "", IF(SUM(COUNTIF(A114, "*"&amp;sheet1!A$4&amp;"*"), COUNTIF(B114, "*"&amp;sheet1!A$4&amp;"*"), COUNTIF(C114, "*"&amp;sheet1!A$4&amp;"*"), COUNTIF(D114, "*"&amp;sheet1!A$4&amp;"*"), COUNTIF(E114, "*"&amp;sheet1!A$4&amp;"*"), COUNTIF(F114, "*"&amp;sheet1!A$4&amp;"*"), COUNTIF(G114, "*"&amp;sheet1!A$4&amp;"*")) &gt; 0, MAX(H$1:H113)+1, ""))</f>
        <v/>
      </c>
    </row>
    <row r="115" spans="1:8" ht="12.5">
      <c r="A115" s="5" t="s">
        <v>10</v>
      </c>
      <c r="B115" s="5">
        <v>5</v>
      </c>
      <c r="C115" s="7" t="s">
        <v>223</v>
      </c>
      <c r="D115" s="7" t="s">
        <v>221</v>
      </c>
      <c r="E115" s="7" t="s">
        <v>74</v>
      </c>
      <c r="F115" s="7">
        <v>1980</v>
      </c>
      <c r="H115" s="7" t="str">
        <f>IF(OR(A115="", sheet1!A$4=""), "", IF(SUM(COUNTIF(A115, "*"&amp;sheet1!A$4&amp;"*"), COUNTIF(B115, "*"&amp;sheet1!A$4&amp;"*"), COUNTIF(C115, "*"&amp;sheet1!A$4&amp;"*"), COUNTIF(D115, "*"&amp;sheet1!A$4&amp;"*"), COUNTIF(E115, "*"&amp;sheet1!A$4&amp;"*"), COUNTIF(F115, "*"&amp;sheet1!A$4&amp;"*"), COUNTIF(G115, "*"&amp;sheet1!A$4&amp;"*")) &gt; 0, MAX(H$1:H114)+1, ""))</f>
        <v/>
      </c>
    </row>
    <row r="116" spans="1:8" ht="12.5">
      <c r="A116" s="5" t="s">
        <v>10</v>
      </c>
      <c r="B116" s="5">
        <v>5</v>
      </c>
      <c r="C116" s="7" t="s">
        <v>224</v>
      </c>
      <c r="D116" s="7" t="s">
        <v>20</v>
      </c>
      <c r="E116" s="7" t="s">
        <v>20</v>
      </c>
      <c r="F116" s="7">
        <v>1984</v>
      </c>
      <c r="H116" s="7" t="str">
        <f>IF(OR(A116="", sheet1!A$4=""), "", IF(SUM(COUNTIF(A116, "*"&amp;sheet1!A$4&amp;"*"), COUNTIF(B116, "*"&amp;sheet1!A$4&amp;"*"), COUNTIF(C116, "*"&amp;sheet1!A$4&amp;"*"), COUNTIF(D116, "*"&amp;sheet1!A$4&amp;"*"), COUNTIF(E116, "*"&amp;sheet1!A$4&amp;"*"), COUNTIF(F116, "*"&amp;sheet1!A$4&amp;"*"), COUNTIF(G116, "*"&amp;sheet1!A$4&amp;"*")) &gt; 0, MAX(H$1:H115)+1, ""))</f>
        <v/>
      </c>
    </row>
    <row r="117" spans="1:8" ht="12.5">
      <c r="A117" s="5" t="s">
        <v>10</v>
      </c>
      <c r="B117" s="5">
        <v>5</v>
      </c>
      <c r="C117" s="7" t="s">
        <v>225</v>
      </c>
      <c r="D117" s="7" t="s">
        <v>226</v>
      </c>
      <c r="E117" s="7" t="s">
        <v>227</v>
      </c>
      <c r="F117" s="7">
        <v>1994</v>
      </c>
      <c r="H117" s="7" t="str">
        <f>IF(OR(A117="", sheet1!A$4=""), "", IF(SUM(COUNTIF(A117, "*"&amp;sheet1!A$4&amp;"*"), COUNTIF(B117, "*"&amp;sheet1!A$4&amp;"*"), COUNTIF(C117, "*"&amp;sheet1!A$4&amp;"*"), COUNTIF(D117, "*"&amp;sheet1!A$4&amp;"*"), COUNTIF(E117, "*"&amp;sheet1!A$4&amp;"*"), COUNTIF(F117, "*"&amp;sheet1!A$4&amp;"*"), COUNTIF(G117, "*"&amp;sheet1!A$4&amp;"*")) &gt; 0, MAX(H$1:H116)+1, ""))</f>
        <v/>
      </c>
    </row>
    <row r="118" spans="1:8" ht="12.5">
      <c r="A118" s="5" t="s">
        <v>10</v>
      </c>
      <c r="B118" s="5">
        <v>5</v>
      </c>
      <c r="C118" s="7" t="s">
        <v>228</v>
      </c>
      <c r="D118" s="7" t="s">
        <v>216</v>
      </c>
      <c r="E118" s="7" t="s">
        <v>169</v>
      </c>
      <c r="F118" s="7">
        <v>1976</v>
      </c>
      <c r="H118" s="7" t="str">
        <f>IF(OR(A118="", sheet1!A$4=""), "", IF(SUM(COUNTIF(A118, "*"&amp;sheet1!A$4&amp;"*"), COUNTIF(B118, "*"&amp;sheet1!A$4&amp;"*"), COUNTIF(C118, "*"&amp;sheet1!A$4&amp;"*"), COUNTIF(D118, "*"&amp;sheet1!A$4&amp;"*"), COUNTIF(E118, "*"&amp;sheet1!A$4&amp;"*"), COUNTIF(F118, "*"&amp;sheet1!A$4&amp;"*"), COUNTIF(G118, "*"&amp;sheet1!A$4&amp;"*")) &gt; 0, MAX(H$1:H117)+1, ""))</f>
        <v/>
      </c>
    </row>
    <row r="119" spans="1:8" ht="12.5">
      <c r="A119" s="5" t="s">
        <v>10</v>
      </c>
      <c r="B119" s="5">
        <v>5</v>
      </c>
      <c r="C119" s="7" t="s">
        <v>229</v>
      </c>
      <c r="D119" s="7" t="s">
        <v>32</v>
      </c>
      <c r="E119" s="7" t="s">
        <v>32</v>
      </c>
      <c r="F119" s="7">
        <v>1976</v>
      </c>
      <c r="H119" s="7" t="str">
        <f>IF(OR(A119="", sheet1!A$4=""), "", IF(SUM(COUNTIF(A119, "*"&amp;sheet1!A$4&amp;"*"), COUNTIF(B119, "*"&amp;sheet1!A$4&amp;"*"), COUNTIF(C119, "*"&amp;sheet1!A$4&amp;"*"), COUNTIF(D119, "*"&amp;sheet1!A$4&amp;"*"), COUNTIF(E119, "*"&amp;sheet1!A$4&amp;"*"), COUNTIF(F119, "*"&amp;sheet1!A$4&amp;"*"), COUNTIF(G119, "*"&amp;sheet1!A$4&amp;"*")) &gt; 0, MAX(H$1:H118)+1, ""))</f>
        <v/>
      </c>
    </row>
    <row r="120" spans="1:8" ht="12.5">
      <c r="A120" s="5" t="s">
        <v>10</v>
      </c>
      <c r="B120" s="5">
        <v>5</v>
      </c>
      <c r="C120" s="7" t="s">
        <v>230</v>
      </c>
      <c r="D120" s="7" t="s">
        <v>20</v>
      </c>
      <c r="E120" s="7" t="s">
        <v>21</v>
      </c>
      <c r="F120" s="7">
        <v>1992</v>
      </c>
      <c r="H120" s="7" t="str">
        <f>IF(OR(A120="", sheet1!A$4=""), "", IF(SUM(COUNTIF(A120, "*"&amp;sheet1!A$4&amp;"*"), COUNTIF(B120, "*"&amp;sheet1!A$4&amp;"*"), COUNTIF(C120, "*"&amp;sheet1!A$4&amp;"*"), COUNTIF(D120, "*"&amp;sheet1!A$4&amp;"*"), COUNTIF(E120, "*"&amp;sheet1!A$4&amp;"*"), COUNTIF(F120, "*"&amp;sheet1!A$4&amp;"*"), COUNTIF(G120, "*"&amp;sheet1!A$4&amp;"*")) &gt; 0, MAX(H$1:H119)+1, ""))</f>
        <v/>
      </c>
    </row>
    <row r="121" spans="1:8" ht="12.5">
      <c r="A121" s="5" t="s">
        <v>10</v>
      </c>
      <c r="B121" s="5">
        <v>5</v>
      </c>
      <c r="C121" s="7" t="s">
        <v>231</v>
      </c>
      <c r="D121" s="7" t="s">
        <v>28</v>
      </c>
      <c r="E121" s="7" t="s">
        <v>28</v>
      </c>
      <c r="F121" s="7">
        <v>1974</v>
      </c>
      <c r="H121" s="7" t="str">
        <f>IF(OR(A121="", sheet1!A$4=""), "", IF(SUM(COUNTIF(A121, "*"&amp;sheet1!A$4&amp;"*"), COUNTIF(B121, "*"&amp;sheet1!A$4&amp;"*"), COUNTIF(C121, "*"&amp;sheet1!A$4&amp;"*"), COUNTIF(D121, "*"&amp;sheet1!A$4&amp;"*"), COUNTIF(E121, "*"&amp;sheet1!A$4&amp;"*"), COUNTIF(F121, "*"&amp;sheet1!A$4&amp;"*"), COUNTIF(G121, "*"&amp;sheet1!A$4&amp;"*")) &gt; 0, MAX(H$1:H120)+1, ""))</f>
        <v/>
      </c>
    </row>
    <row r="122" spans="1:8" ht="12.5">
      <c r="A122" s="5" t="s">
        <v>10</v>
      </c>
      <c r="B122" s="5">
        <v>5</v>
      </c>
      <c r="C122" s="7" t="s">
        <v>232</v>
      </c>
      <c r="D122" s="7" t="s">
        <v>233</v>
      </c>
      <c r="E122" s="7" t="s">
        <v>26</v>
      </c>
      <c r="F122" s="7">
        <v>2017</v>
      </c>
      <c r="H122" s="7" t="str">
        <f>IF(OR(A122="", sheet1!A$4=""), "", IF(SUM(COUNTIF(A122, "*"&amp;sheet1!A$4&amp;"*"), COUNTIF(B122, "*"&amp;sheet1!A$4&amp;"*"), COUNTIF(C122, "*"&amp;sheet1!A$4&amp;"*"), COUNTIF(D122, "*"&amp;sheet1!A$4&amp;"*"), COUNTIF(E122, "*"&amp;sheet1!A$4&amp;"*"), COUNTIF(F122, "*"&amp;sheet1!A$4&amp;"*"), COUNTIF(G122, "*"&amp;sheet1!A$4&amp;"*")) &gt; 0, MAX(H$1:H121)+1, ""))</f>
        <v/>
      </c>
    </row>
    <row r="123" spans="1:8" ht="12.5">
      <c r="A123" s="5" t="s">
        <v>10</v>
      </c>
      <c r="B123" s="5">
        <v>5</v>
      </c>
      <c r="C123" s="7" t="s">
        <v>234</v>
      </c>
      <c r="D123" s="7" t="s">
        <v>235</v>
      </c>
      <c r="E123" s="7" t="s">
        <v>236</v>
      </c>
      <c r="F123" s="7">
        <v>1987</v>
      </c>
      <c r="H123" s="7" t="str">
        <f>IF(OR(A123="", sheet1!A$4=""), "", IF(SUM(COUNTIF(A123, "*"&amp;sheet1!A$4&amp;"*"), COUNTIF(B123, "*"&amp;sheet1!A$4&amp;"*"), COUNTIF(C123, "*"&amp;sheet1!A$4&amp;"*"), COUNTIF(D123, "*"&amp;sheet1!A$4&amp;"*"), COUNTIF(E123, "*"&amp;sheet1!A$4&amp;"*"), COUNTIF(F123, "*"&amp;sheet1!A$4&amp;"*"), COUNTIF(G123, "*"&amp;sheet1!A$4&amp;"*")) &gt; 0, MAX(H$1:H122)+1, ""))</f>
        <v/>
      </c>
    </row>
    <row r="124" spans="1:8" ht="12.5">
      <c r="A124" s="5" t="s">
        <v>10</v>
      </c>
      <c r="B124" s="5">
        <v>5</v>
      </c>
      <c r="C124" s="7" t="s">
        <v>237</v>
      </c>
      <c r="D124" s="7" t="s">
        <v>238</v>
      </c>
      <c r="E124" s="7" t="s">
        <v>45</v>
      </c>
      <c r="F124" s="7">
        <v>2004</v>
      </c>
      <c r="H124" s="7" t="str">
        <f>IF(OR(A124="", sheet1!A$4=""), "", IF(SUM(COUNTIF(A124, "*"&amp;sheet1!A$4&amp;"*"), COUNTIF(B124, "*"&amp;sheet1!A$4&amp;"*"), COUNTIF(C124, "*"&amp;sheet1!A$4&amp;"*"), COUNTIF(D124, "*"&amp;sheet1!A$4&amp;"*"), COUNTIF(E124, "*"&amp;sheet1!A$4&amp;"*"), COUNTIF(F124, "*"&amp;sheet1!A$4&amp;"*"), COUNTIF(G124, "*"&amp;sheet1!A$4&amp;"*")) &gt; 0, MAX(H$1:H123)+1, ""))</f>
        <v/>
      </c>
    </row>
    <row r="125" spans="1:8" ht="12.5">
      <c r="A125" s="5" t="s">
        <v>10</v>
      </c>
      <c r="B125" s="5">
        <v>5</v>
      </c>
      <c r="C125" s="7" t="s">
        <v>239</v>
      </c>
      <c r="D125" s="7" t="s">
        <v>240</v>
      </c>
      <c r="E125" s="7" t="s">
        <v>49</v>
      </c>
      <c r="F125" s="7">
        <v>1973</v>
      </c>
      <c r="H125" s="7" t="str">
        <f>IF(OR(A125="", sheet1!A$4=""), "", IF(SUM(COUNTIF(A125, "*"&amp;sheet1!A$4&amp;"*"), COUNTIF(B125, "*"&amp;sheet1!A$4&amp;"*"), COUNTIF(C125, "*"&amp;sheet1!A$4&amp;"*"), COUNTIF(D125, "*"&amp;sheet1!A$4&amp;"*"), COUNTIF(E125, "*"&amp;sheet1!A$4&amp;"*"), COUNTIF(F125, "*"&amp;sheet1!A$4&amp;"*"), COUNTIF(G125, "*"&amp;sheet1!A$4&amp;"*")) &gt; 0, MAX(H$1:H124)+1, ""))</f>
        <v/>
      </c>
    </row>
    <row r="126" spans="1:8" ht="16">
      <c r="A126" s="5" t="s">
        <v>10</v>
      </c>
      <c r="B126" s="5">
        <v>5</v>
      </c>
      <c r="C126" s="7" t="s">
        <v>241</v>
      </c>
      <c r="D126" s="9" t="s">
        <v>242</v>
      </c>
      <c r="E126" s="7" t="s">
        <v>243</v>
      </c>
      <c r="F126" s="7">
        <v>1972</v>
      </c>
      <c r="H126" s="7" t="str">
        <f>IF(OR(A126="", sheet1!A$4=""), "", IF(SUM(COUNTIF(A126, "*"&amp;sheet1!A$4&amp;"*"), COUNTIF(B126, "*"&amp;sheet1!A$4&amp;"*"), COUNTIF(C126, "*"&amp;sheet1!A$4&amp;"*"), COUNTIF(D126, "*"&amp;sheet1!A$4&amp;"*"), COUNTIF(E126, "*"&amp;sheet1!A$4&amp;"*"), COUNTIF(F126, "*"&amp;sheet1!A$4&amp;"*"), COUNTIF(G126, "*"&amp;sheet1!A$4&amp;"*")) &gt; 0, MAX(H$1:H125)+1, ""))</f>
        <v/>
      </c>
    </row>
  </sheetData>
  <customSheetViews>
    <customSheetView guid="{EAC9EC35-8666-44EE-A77F-9092A1310B79}" filter="1" showAutoFilter="1">
      <pageMargins left="0.7" right="0.7" top="0.75" bottom="0.75" header="0.3" footer="0.3"/>
      <autoFilter ref="C1:G126" xr:uid="{8BD678D8-64CD-46A3-9A3F-842F8FF02C72}"/>
    </customSheetView>
  </customSheetViews>
  <phoneticPr fontId="1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02"/>
  <sheetViews>
    <sheetView workbookViewId="0"/>
  </sheetViews>
  <sheetFormatPr defaultColWidth="12.6328125" defaultRowHeight="15.75" customHeight="1"/>
  <cols>
    <col min="13" max="13" width="32.7265625" customWidth="1"/>
    <col min="14" max="14" width="16.08984375" customWidth="1"/>
    <col min="15" max="15" width="14.453125" customWidth="1"/>
  </cols>
  <sheetData>
    <row r="1" spans="1:17" ht="15.75" customHeight="1">
      <c r="A1" s="7" t="s">
        <v>244</v>
      </c>
      <c r="B1" s="7" t="s">
        <v>5</v>
      </c>
      <c r="C1" s="7" t="s">
        <v>245</v>
      </c>
      <c r="D1" s="7" t="s">
        <v>7</v>
      </c>
      <c r="E1" s="7" t="s">
        <v>8</v>
      </c>
      <c r="G1" s="7" t="s">
        <v>244</v>
      </c>
      <c r="H1" s="7" t="s">
        <v>5</v>
      </c>
      <c r="I1" s="7" t="s">
        <v>245</v>
      </c>
      <c r="J1" s="7" t="s">
        <v>7</v>
      </c>
      <c r="K1" s="7" t="s">
        <v>8</v>
      </c>
      <c r="M1" s="7" t="s">
        <v>244</v>
      </c>
      <c r="N1" s="7" t="s">
        <v>5</v>
      </c>
      <c r="O1" s="7" t="s">
        <v>245</v>
      </c>
      <c r="P1" s="7" t="s">
        <v>7</v>
      </c>
      <c r="Q1" s="7" t="s">
        <v>8</v>
      </c>
    </row>
    <row r="2" spans="1:17" ht="15.75" customHeight="1">
      <c r="A2" s="6" t="s">
        <v>246</v>
      </c>
      <c r="B2" s="7" t="s">
        <v>247</v>
      </c>
      <c r="G2" s="6" t="s">
        <v>248</v>
      </c>
      <c r="M2" s="6" t="s">
        <v>249</v>
      </c>
    </row>
    <row r="3" spans="1:17" ht="15.75" customHeight="1">
      <c r="A3" s="7" t="s">
        <v>250</v>
      </c>
      <c r="G3" s="7" t="s">
        <v>251</v>
      </c>
      <c r="M3" s="7" t="s">
        <v>252</v>
      </c>
    </row>
    <row r="4" spans="1:17" ht="15.75" customHeight="1">
      <c r="A4" s="7" t="s">
        <v>253</v>
      </c>
      <c r="G4" s="7" t="s">
        <v>254</v>
      </c>
      <c r="M4" s="7" t="s">
        <v>255</v>
      </c>
      <c r="N4" s="7" t="s">
        <v>256</v>
      </c>
      <c r="O4" s="7" t="s">
        <v>257</v>
      </c>
      <c r="P4" s="7">
        <v>1991</v>
      </c>
    </row>
    <row r="5" spans="1:17" ht="15.75" customHeight="1">
      <c r="A5" s="7" t="s">
        <v>258</v>
      </c>
      <c r="G5" s="7" t="s">
        <v>259</v>
      </c>
      <c r="M5" s="7" t="s">
        <v>260</v>
      </c>
      <c r="N5" s="7" t="s">
        <v>261</v>
      </c>
      <c r="O5" s="7" t="s">
        <v>262</v>
      </c>
      <c r="P5" s="7">
        <v>2010</v>
      </c>
    </row>
    <row r="6" spans="1:17" ht="15.75" customHeight="1">
      <c r="A6" s="7" t="s">
        <v>263</v>
      </c>
      <c r="G6" s="7" t="s">
        <v>264</v>
      </c>
      <c r="M6" s="7" t="s">
        <v>265</v>
      </c>
      <c r="N6" s="7" t="s">
        <v>266</v>
      </c>
      <c r="P6" s="7">
        <v>2022</v>
      </c>
    </row>
    <row r="7" spans="1:17" ht="15.75" customHeight="1">
      <c r="A7" s="7" t="s">
        <v>267</v>
      </c>
      <c r="G7" s="7" t="s">
        <v>268</v>
      </c>
      <c r="M7" s="7" t="s">
        <v>269</v>
      </c>
      <c r="N7" s="7" t="s">
        <v>91</v>
      </c>
      <c r="O7" s="7" t="s">
        <v>91</v>
      </c>
      <c r="P7" s="7">
        <v>2021</v>
      </c>
    </row>
    <row r="8" spans="1:17" ht="15.75" customHeight="1">
      <c r="A8" s="7" t="s">
        <v>270</v>
      </c>
      <c r="G8" s="7" t="s">
        <v>271</v>
      </c>
      <c r="M8" s="7" t="s">
        <v>272</v>
      </c>
      <c r="N8" s="7" t="s">
        <v>20</v>
      </c>
      <c r="O8" s="7" t="s">
        <v>20</v>
      </c>
      <c r="P8" s="7">
        <v>2020</v>
      </c>
    </row>
    <row r="9" spans="1:17" ht="15.75" customHeight="1">
      <c r="A9" s="7" t="s">
        <v>273</v>
      </c>
      <c r="G9" s="7" t="s">
        <v>274</v>
      </c>
      <c r="M9" s="7" t="s">
        <v>275</v>
      </c>
      <c r="N9" s="7" t="s">
        <v>276</v>
      </c>
      <c r="O9" s="7" t="s">
        <v>277</v>
      </c>
      <c r="P9" s="7">
        <v>2021</v>
      </c>
    </row>
    <row r="10" spans="1:17" ht="15.75" customHeight="1">
      <c r="A10" s="7" t="s">
        <v>278</v>
      </c>
      <c r="G10" s="7" t="s">
        <v>279</v>
      </c>
      <c r="M10" s="7" t="s">
        <v>280</v>
      </c>
      <c r="N10" s="7" t="s">
        <v>281</v>
      </c>
      <c r="O10" s="7" t="s">
        <v>282</v>
      </c>
      <c r="P10" s="7">
        <v>2011</v>
      </c>
    </row>
    <row r="11" spans="1:17" ht="15.75" customHeight="1">
      <c r="A11" s="7" t="s">
        <v>283</v>
      </c>
      <c r="G11" s="7" t="s">
        <v>284</v>
      </c>
      <c r="M11" s="7" t="s">
        <v>285</v>
      </c>
      <c r="N11" s="7" t="s">
        <v>28</v>
      </c>
      <c r="O11" s="7" t="s">
        <v>28</v>
      </c>
      <c r="P11" s="7">
        <v>2024</v>
      </c>
    </row>
    <row r="12" spans="1:17" ht="15.75" customHeight="1">
      <c r="A12" s="7" t="s">
        <v>286</v>
      </c>
      <c r="G12" s="7" t="s">
        <v>287</v>
      </c>
      <c r="M12" s="7" t="s">
        <v>288</v>
      </c>
      <c r="N12" s="7" t="s">
        <v>20</v>
      </c>
      <c r="O12" s="7" t="s">
        <v>20</v>
      </c>
      <c r="P12" s="7">
        <v>2024</v>
      </c>
    </row>
    <row r="13" spans="1:17" ht="15.75" customHeight="1">
      <c r="A13" s="7" t="s">
        <v>289</v>
      </c>
      <c r="G13" s="7" t="s">
        <v>290</v>
      </c>
      <c r="M13" s="7" t="s">
        <v>291</v>
      </c>
      <c r="N13" s="7" t="s">
        <v>20</v>
      </c>
      <c r="O13" s="7" t="s">
        <v>20</v>
      </c>
      <c r="P13" s="7">
        <v>2023</v>
      </c>
    </row>
    <row r="14" spans="1:17" ht="15.75" customHeight="1">
      <c r="A14" s="7" t="s">
        <v>292</v>
      </c>
      <c r="G14" s="7" t="s">
        <v>293</v>
      </c>
      <c r="M14" s="7" t="s">
        <v>294</v>
      </c>
      <c r="N14" s="7" t="s">
        <v>295</v>
      </c>
      <c r="O14" s="7" t="s">
        <v>295</v>
      </c>
      <c r="P14" s="7">
        <v>2023</v>
      </c>
    </row>
    <row r="15" spans="1:17" ht="15.75" customHeight="1">
      <c r="A15" s="7" t="s">
        <v>296</v>
      </c>
      <c r="G15" s="7" t="s">
        <v>297</v>
      </c>
      <c r="M15" s="7" t="s">
        <v>298</v>
      </c>
      <c r="N15" s="7" t="s">
        <v>299</v>
      </c>
      <c r="O15" s="7" t="s">
        <v>300</v>
      </c>
      <c r="P15" s="7">
        <v>2023</v>
      </c>
    </row>
    <row r="16" spans="1:17" ht="15.75" customHeight="1">
      <c r="A16" s="7" t="s">
        <v>301</v>
      </c>
      <c r="G16" s="7" t="s">
        <v>302</v>
      </c>
      <c r="M16" s="7" t="s">
        <v>303</v>
      </c>
      <c r="N16" s="7" t="s">
        <v>304</v>
      </c>
      <c r="O16" s="7" t="s">
        <v>91</v>
      </c>
      <c r="P16" s="7">
        <v>2024</v>
      </c>
    </row>
    <row r="17" spans="1:17" ht="15.75" customHeight="1">
      <c r="A17" s="7" t="s">
        <v>305</v>
      </c>
      <c r="G17" s="7" t="s">
        <v>306</v>
      </c>
      <c r="M17" s="7" t="s">
        <v>307</v>
      </c>
      <c r="N17" s="7" t="s">
        <v>91</v>
      </c>
      <c r="O17" s="7" t="s">
        <v>91</v>
      </c>
      <c r="P17" s="7">
        <v>2023</v>
      </c>
      <c r="Q17" s="7" t="s">
        <v>308</v>
      </c>
    </row>
    <row r="18" spans="1:17" ht="15.75" customHeight="1">
      <c r="A18" s="7" t="s">
        <v>309</v>
      </c>
      <c r="G18" s="7" t="s">
        <v>310</v>
      </c>
      <c r="M18" s="7" t="s">
        <v>311</v>
      </c>
      <c r="N18" s="7" t="s">
        <v>112</v>
      </c>
      <c r="O18" s="7" t="s">
        <v>112</v>
      </c>
      <c r="P18" s="7">
        <v>2021</v>
      </c>
    </row>
    <row r="19" spans="1:17" ht="15.75" customHeight="1">
      <c r="A19" s="7" t="s">
        <v>312</v>
      </c>
      <c r="G19" s="7" t="s">
        <v>313</v>
      </c>
      <c r="M19" s="7" t="s">
        <v>314</v>
      </c>
      <c r="O19" s="7" t="s">
        <v>315</v>
      </c>
      <c r="P19" s="7">
        <v>2008</v>
      </c>
    </row>
    <row r="20" spans="1:17" ht="15.75" customHeight="1">
      <c r="A20" s="7" t="s">
        <v>316</v>
      </c>
      <c r="G20" s="7" t="s">
        <v>317</v>
      </c>
      <c r="M20" s="7" t="s">
        <v>318</v>
      </c>
      <c r="N20" s="7" t="s">
        <v>91</v>
      </c>
      <c r="O20" s="7" t="s">
        <v>91</v>
      </c>
      <c r="P20" s="7">
        <v>2024</v>
      </c>
    </row>
    <row r="21" spans="1:17" ht="15.75" customHeight="1">
      <c r="A21" s="7" t="s">
        <v>319</v>
      </c>
      <c r="G21" s="7" t="s">
        <v>320</v>
      </c>
      <c r="M21" s="7" t="s">
        <v>321</v>
      </c>
      <c r="N21" s="7" t="s">
        <v>91</v>
      </c>
      <c r="O21" s="7" t="s">
        <v>91</v>
      </c>
      <c r="P21" s="7">
        <v>2022</v>
      </c>
    </row>
    <row r="22" spans="1:17" ht="12.5">
      <c r="A22" s="7" t="s">
        <v>322</v>
      </c>
      <c r="G22" s="7" t="s">
        <v>323</v>
      </c>
      <c r="M22" s="7" t="s">
        <v>324</v>
      </c>
      <c r="N22" s="7" t="s">
        <v>91</v>
      </c>
      <c r="O22" s="7" t="s">
        <v>91</v>
      </c>
      <c r="P22" s="7">
        <v>2023</v>
      </c>
    </row>
    <row r="23" spans="1:17" ht="12.5">
      <c r="A23" s="7" t="s">
        <v>325</v>
      </c>
      <c r="G23" s="7" t="s">
        <v>326</v>
      </c>
      <c r="M23" s="7" t="s">
        <v>327</v>
      </c>
      <c r="N23" s="7" t="s">
        <v>91</v>
      </c>
      <c r="O23" s="7" t="s">
        <v>91</v>
      </c>
      <c r="P23" s="7">
        <v>2022</v>
      </c>
    </row>
    <row r="24" spans="1:17" ht="12.5">
      <c r="A24" s="7" t="s">
        <v>328</v>
      </c>
      <c r="G24" s="7" t="s">
        <v>329</v>
      </c>
      <c r="M24" s="7" t="s">
        <v>330</v>
      </c>
      <c r="N24" s="7" t="s">
        <v>91</v>
      </c>
      <c r="O24" s="7" t="s">
        <v>91</v>
      </c>
      <c r="P24" s="7">
        <v>2022</v>
      </c>
    </row>
    <row r="25" spans="1:17" ht="12.5">
      <c r="A25" s="7" t="s">
        <v>331</v>
      </c>
      <c r="M25" s="7" t="s">
        <v>332</v>
      </c>
      <c r="N25" s="7" t="s">
        <v>91</v>
      </c>
      <c r="O25" s="7" t="s">
        <v>91</v>
      </c>
      <c r="P25" s="7">
        <v>2018</v>
      </c>
      <c r="Q25" s="7"/>
    </row>
    <row r="26" spans="1:17" ht="12.5">
      <c r="A26" s="7" t="s">
        <v>333</v>
      </c>
      <c r="M26" s="7" t="s">
        <v>334</v>
      </c>
      <c r="N26" s="7" t="s">
        <v>91</v>
      </c>
      <c r="O26" s="7" t="s">
        <v>91</v>
      </c>
      <c r="P26" s="7">
        <v>2024</v>
      </c>
    </row>
    <row r="27" spans="1:17" ht="12.5">
      <c r="A27" s="7" t="s">
        <v>335</v>
      </c>
      <c r="M27" s="7" t="s">
        <v>336</v>
      </c>
      <c r="N27" s="7" t="s">
        <v>91</v>
      </c>
      <c r="O27" s="7" t="s">
        <v>91</v>
      </c>
      <c r="P27" s="7">
        <v>2022</v>
      </c>
    </row>
    <row r="28" spans="1:17" ht="12.5">
      <c r="A28" s="7" t="s">
        <v>337</v>
      </c>
      <c r="M28" s="7" t="s">
        <v>338</v>
      </c>
      <c r="N28" s="7" t="s">
        <v>91</v>
      </c>
      <c r="O28" s="7" t="s">
        <v>91</v>
      </c>
      <c r="P28" s="7">
        <v>2022</v>
      </c>
    </row>
    <row r="29" spans="1:17" ht="12.5">
      <c r="A29" s="7" t="s">
        <v>339</v>
      </c>
      <c r="M29" s="7" t="s">
        <v>340</v>
      </c>
      <c r="N29" s="7" t="s">
        <v>91</v>
      </c>
      <c r="O29" s="7" t="s">
        <v>91</v>
      </c>
      <c r="P29" s="7">
        <v>2021</v>
      </c>
    </row>
    <row r="30" spans="1:17" ht="12.5">
      <c r="A30" s="7" t="s">
        <v>341</v>
      </c>
      <c r="M30" s="7" t="s">
        <v>342</v>
      </c>
      <c r="N30" s="7" t="s">
        <v>91</v>
      </c>
      <c r="O30" s="7" t="s">
        <v>91</v>
      </c>
      <c r="P30" s="7">
        <v>2020</v>
      </c>
    </row>
    <row r="31" spans="1:17" ht="12.5">
      <c r="A31" s="7" t="s">
        <v>343</v>
      </c>
      <c r="M31" s="7" t="s">
        <v>344</v>
      </c>
      <c r="N31" s="7" t="s">
        <v>91</v>
      </c>
      <c r="O31" s="7" t="s">
        <v>91</v>
      </c>
      <c r="P31" s="7">
        <v>2018</v>
      </c>
    </row>
    <row r="32" spans="1:17" ht="12.5">
      <c r="A32" s="7" t="s">
        <v>345</v>
      </c>
      <c r="M32" s="7" t="s">
        <v>346</v>
      </c>
      <c r="N32" s="7" t="s">
        <v>91</v>
      </c>
      <c r="O32" s="7" t="s">
        <v>91</v>
      </c>
      <c r="P32" s="7">
        <v>2017</v>
      </c>
    </row>
    <row r="33" spans="1:16" ht="12.5">
      <c r="A33" s="7" t="s">
        <v>347</v>
      </c>
      <c r="M33" s="7" t="s">
        <v>348</v>
      </c>
      <c r="N33" s="7" t="s">
        <v>91</v>
      </c>
      <c r="O33" s="7" t="s">
        <v>91</v>
      </c>
      <c r="P33" s="7">
        <v>2017</v>
      </c>
    </row>
    <row r="34" spans="1:16" ht="12.5">
      <c r="A34" s="7" t="s">
        <v>349</v>
      </c>
    </row>
    <row r="35" spans="1:16" ht="12.5">
      <c r="A35" s="7" t="s">
        <v>350</v>
      </c>
    </row>
    <row r="36" spans="1:16" ht="12.5">
      <c r="A36" s="7" t="s">
        <v>351</v>
      </c>
      <c r="M36" s="6" t="s">
        <v>352</v>
      </c>
    </row>
    <row r="37" spans="1:16" ht="12.5">
      <c r="A37" s="7" t="s">
        <v>353</v>
      </c>
      <c r="M37" s="7" t="s">
        <v>354</v>
      </c>
      <c r="N37" s="7" t="s">
        <v>355</v>
      </c>
      <c r="P37" s="7">
        <v>1969</v>
      </c>
    </row>
    <row r="38" spans="1:16" ht="12.5">
      <c r="A38" s="7" t="s">
        <v>356</v>
      </c>
      <c r="M38" s="7" t="s">
        <v>357</v>
      </c>
      <c r="N38" s="7" t="s">
        <v>358</v>
      </c>
      <c r="O38" s="7" t="s">
        <v>21</v>
      </c>
      <c r="P38" s="7">
        <v>1974</v>
      </c>
    </row>
    <row r="39" spans="1:16" ht="12.5">
      <c r="A39" s="7" t="s">
        <v>359</v>
      </c>
      <c r="M39" s="7" t="s">
        <v>360</v>
      </c>
      <c r="N39" s="7" t="s">
        <v>361</v>
      </c>
      <c r="O39" s="7" t="s">
        <v>21</v>
      </c>
      <c r="P39" s="7">
        <v>1974</v>
      </c>
    </row>
    <row r="40" spans="1:16" ht="12.5">
      <c r="A40" s="7" t="s">
        <v>362</v>
      </c>
      <c r="M40" s="7" t="s">
        <v>363</v>
      </c>
      <c r="N40" s="7" t="s">
        <v>364</v>
      </c>
      <c r="O40" s="7" t="s">
        <v>21</v>
      </c>
      <c r="P40" s="7">
        <v>1974</v>
      </c>
    </row>
    <row r="41" spans="1:16" ht="12.5">
      <c r="A41" s="7" t="s">
        <v>365</v>
      </c>
      <c r="M41" s="7" t="s">
        <v>366</v>
      </c>
      <c r="N41" s="7" t="s">
        <v>25</v>
      </c>
      <c r="O41" s="7" t="s">
        <v>21</v>
      </c>
      <c r="P41" s="7">
        <v>1973</v>
      </c>
    </row>
    <row r="42" spans="1:16" ht="12.5">
      <c r="A42" s="7" t="s">
        <v>367</v>
      </c>
      <c r="M42" s="7" t="s">
        <v>368</v>
      </c>
      <c r="N42" s="7" t="s">
        <v>369</v>
      </c>
      <c r="O42" s="7" t="s">
        <v>21</v>
      </c>
      <c r="P42" s="7">
        <v>1975</v>
      </c>
    </row>
    <row r="43" spans="1:16" ht="12.5">
      <c r="A43" s="7" t="s">
        <v>370</v>
      </c>
      <c r="M43" s="7" t="s">
        <v>371</v>
      </c>
      <c r="N43" s="7" t="s">
        <v>372</v>
      </c>
      <c r="O43" s="7" t="s">
        <v>21</v>
      </c>
      <c r="P43" s="7">
        <v>1975</v>
      </c>
    </row>
    <row r="44" spans="1:16" ht="12.5">
      <c r="A44" s="7" t="s">
        <v>373</v>
      </c>
      <c r="M44" s="7" t="s">
        <v>374</v>
      </c>
      <c r="N44" s="7" t="s">
        <v>375</v>
      </c>
      <c r="O44" s="7" t="s">
        <v>21</v>
      </c>
      <c r="P44" s="7">
        <v>1974</v>
      </c>
    </row>
    <row r="45" spans="1:16" ht="12.5">
      <c r="A45" s="7" t="s">
        <v>376</v>
      </c>
      <c r="M45" s="7" t="s">
        <v>377</v>
      </c>
      <c r="N45" s="7" t="s">
        <v>378</v>
      </c>
      <c r="O45" s="7" t="s">
        <v>21</v>
      </c>
      <c r="P45" s="7">
        <v>1974</v>
      </c>
    </row>
    <row r="46" spans="1:16" ht="12.5">
      <c r="A46" s="7" t="s">
        <v>379</v>
      </c>
      <c r="M46" s="7" t="s">
        <v>380</v>
      </c>
      <c r="N46" s="7" t="s">
        <v>381</v>
      </c>
      <c r="O46" s="7" t="s">
        <v>21</v>
      </c>
      <c r="P46" s="7">
        <v>1973</v>
      </c>
    </row>
    <row r="47" spans="1:16" ht="12.5">
      <c r="A47" s="7" t="s">
        <v>382</v>
      </c>
      <c r="M47" s="7" t="s">
        <v>383</v>
      </c>
      <c r="N47" s="7" t="s">
        <v>384</v>
      </c>
      <c r="O47" s="7" t="s">
        <v>21</v>
      </c>
      <c r="P47" s="7">
        <v>1975</v>
      </c>
    </row>
    <row r="48" spans="1:16" ht="12.5">
      <c r="A48" s="7" t="s">
        <v>385</v>
      </c>
      <c r="M48" s="7" t="s">
        <v>386</v>
      </c>
      <c r="N48" s="7" t="s">
        <v>387</v>
      </c>
      <c r="O48" s="7" t="s">
        <v>21</v>
      </c>
      <c r="P48" s="7">
        <v>1974</v>
      </c>
    </row>
    <row r="49" spans="1:16" ht="12.5">
      <c r="A49" s="7" t="s">
        <v>388</v>
      </c>
      <c r="M49" s="7" t="s">
        <v>389</v>
      </c>
      <c r="N49" s="7" t="s">
        <v>390</v>
      </c>
      <c r="O49" s="7" t="s">
        <v>21</v>
      </c>
      <c r="P49" s="7">
        <v>1974</v>
      </c>
    </row>
    <row r="50" spans="1:16" ht="12.5">
      <c r="A50" s="7" t="s">
        <v>391</v>
      </c>
      <c r="M50" s="7" t="s">
        <v>392</v>
      </c>
      <c r="N50" s="7" t="s">
        <v>393</v>
      </c>
      <c r="O50" s="7" t="s">
        <v>21</v>
      </c>
      <c r="P50" s="7">
        <v>1974</v>
      </c>
    </row>
    <row r="51" spans="1:16" ht="12.5">
      <c r="A51" s="7" t="s">
        <v>394</v>
      </c>
      <c r="M51" s="7" t="s">
        <v>395</v>
      </c>
      <c r="N51" s="7" t="s">
        <v>396</v>
      </c>
      <c r="O51" s="7" t="s">
        <v>21</v>
      </c>
      <c r="P51" s="7">
        <v>1973</v>
      </c>
    </row>
    <row r="52" spans="1:16" ht="12.5">
      <c r="A52" s="7" t="s">
        <v>397</v>
      </c>
      <c r="M52" s="7" t="s">
        <v>398</v>
      </c>
      <c r="N52" s="7" t="s">
        <v>399</v>
      </c>
      <c r="O52" s="7" t="s">
        <v>21</v>
      </c>
      <c r="P52" s="7">
        <v>1975</v>
      </c>
    </row>
    <row r="53" spans="1:16" ht="12.5">
      <c r="A53" s="7" t="s">
        <v>400</v>
      </c>
      <c r="M53" s="7" t="s">
        <v>401</v>
      </c>
      <c r="N53" s="7" t="s">
        <v>402</v>
      </c>
      <c r="O53" s="7" t="s">
        <v>21</v>
      </c>
      <c r="P53" s="7">
        <v>1974</v>
      </c>
    </row>
    <row r="54" spans="1:16" ht="12.5">
      <c r="A54" s="7" t="s">
        <v>403</v>
      </c>
      <c r="M54" s="7" t="s">
        <v>404</v>
      </c>
      <c r="N54" s="7" t="s">
        <v>145</v>
      </c>
      <c r="O54" s="7" t="s">
        <v>21</v>
      </c>
      <c r="P54" s="7">
        <v>1973</v>
      </c>
    </row>
    <row r="55" spans="1:16" ht="12.5">
      <c r="A55" s="7" t="s">
        <v>405</v>
      </c>
      <c r="M55" s="7" t="s">
        <v>406</v>
      </c>
      <c r="N55" s="7" t="s">
        <v>407</v>
      </c>
      <c r="O55" s="7" t="s">
        <v>21</v>
      </c>
      <c r="P55" s="7">
        <v>1975</v>
      </c>
    </row>
    <row r="56" spans="1:16" ht="12.5">
      <c r="A56" s="7" t="s">
        <v>408</v>
      </c>
      <c r="M56" s="7" t="s">
        <v>409</v>
      </c>
      <c r="N56" s="7" t="s">
        <v>410</v>
      </c>
      <c r="O56" s="7" t="s">
        <v>21</v>
      </c>
      <c r="P56" s="7">
        <v>1974</v>
      </c>
    </row>
    <row r="57" spans="1:16" ht="12.5">
      <c r="A57" s="7" t="s">
        <v>411</v>
      </c>
      <c r="M57" s="7" t="s">
        <v>412</v>
      </c>
      <c r="N57" s="7" t="s">
        <v>381</v>
      </c>
      <c r="O57" s="7" t="s">
        <v>21</v>
      </c>
      <c r="P57" s="7">
        <v>1982</v>
      </c>
    </row>
    <row r="58" spans="1:16" ht="12.5">
      <c r="A58" s="7" t="s">
        <v>413</v>
      </c>
      <c r="M58" s="7" t="s">
        <v>414</v>
      </c>
      <c r="N58" s="7" t="s">
        <v>415</v>
      </c>
      <c r="O58" s="7" t="s">
        <v>21</v>
      </c>
      <c r="P58" s="7">
        <v>1982</v>
      </c>
    </row>
    <row r="59" spans="1:16" ht="12.5">
      <c r="A59" s="7" t="s">
        <v>416</v>
      </c>
      <c r="M59" s="7" t="s">
        <v>417</v>
      </c>
      <c r="N59" s="7" t="s">
        <v>361</v>
      </c>
      <c r="O59" s="7" t="s">
        <v>21</v>
      </c>
      <c r="P59" s="7">
        <v>1981</v>
      </c>
    </row>
    <row r="60" spans="1:16" ht="12.5">
      <c r="A60" s="7" t="s">
        <v>418</v>
      </c>
      <c r="M60" s="7" t="s">
        <v>419</v>
      </c>
      <c r="N60" s="7" t="s">
        <v>407</v>
      </c>
      <c r="O60" s="7" t="s">
        <v>21</v>
      </c>
      <c r="P60" s="7">
        <v>1982</v>
      </c>
    </row>
    <row r="61" spans="1:16" ht="12.5">
      <c r="A61" s="7" t="s">
        <v>420</v>
      </c>
      <c r="M61" s="7" t="s">
        <v>421</v>
      </c>
      <c r="N61" s="7" t="s">
        <v>56</v>
      </c>
      <c r="O61" s="7" t="s">
        <v>21</v>
      </c>
      <c r="P61" s="7">
        <v>1981</v>
      </c>
    </row>
    <row r="62" spans="1:16" ht="12.5">
      <c r="A62" s="7" t="s">
        <v>422</v>
      </c>
      <c r="M62" s="7" t="s">
        <v>423</v>
      </c>
      <c r="N62" s="7" t="s">
        <v>424</v>
      </c>
      <c r="O62" s="7" t="s">
        <v>21</v>
      </c>
      <c r="P62" s="7">
        <v>1981</v>
      </c>
    </row>
    <row r="63" spans="1:16" ht="12.5">
      <c r="A63" s="7" t="s">
        <v>425</v>
      </c>
      <c r="M63" s="7" t="s">
        <v>426</v>
      </c>
      <c r="N63" s="7" t="s">
        <v>427</v>
      </c>
      <c r="O63" s="7" t="s">
        <v>21</v>
      </c>
      <c r="P63" s="7">
        <v>1981</v>
      </c>
    </row>
    <row r="64" spans="1:16" ht="12.5">
      <c r="A64" s="7" t="s">
        <v>428</v>
      </c>
      <c r="M64" s="7" t="s">
        <v>429</v>
      </c>
    </row>
    <row r="65" spans="1:5" ht="12.5">
      <c r="A65" s="7" t="s">
        <v>430</v>
      </c>
    </row>
    <row r="66" spans="1:5" ht="12.5">
      <c r="A66" s="7" t="s">
        <v>431</v>
      </c>
    </row>
    <row r="67" spans="1:5" ht="12.5">
      <c r="A67" s="7" t="s">
        <v>432</v>
      </c>
    </row>
    <row r="68" spans="1:5" ht="12.5">
      <c r="A68" s="7" t="s">
        <v>433</v>
      </c>
    </row>
    <row r="69" spans="1:5" ht="12.5">
      <c r="A69" s="7" t="s">
        <v>434</v>
      </c>
    </row>
    <row r="70" spans="1:5" ht="12.5">
      <c r="A70" s="7" t="s">
        <v>435</v>
      </c>
    </row>
    <row r="71" spans="1:5" ht="12.5">
      <c r="A71" s="7" t="s">
        <v>436</v>
      </c>
    </row>
    <row r="72" spans="1:5" ht="12.5">
      <c r="A72" s="7" t="s">
        <v>437</v>
      </c>
    </row>
    <row r="73" spans="1:5" ht="12.5">
      <c r="A73" s="7" t="s">
        <v>438</v>
      </c>
    </row>
    <row r="74" spans="1:5" ht="12.5">
      <c r="A74" s="7" t="s">
        <v>439</v>
      </c>
    </row>
    <row r="75" spans="1:5" ht="12.5">
      <c r="A75" s="7" t="s">
        <v>440</v>
      </c>
    </row>
    <row r="76" spans="1:5" ht="12.5">
      <c r="A76" s="7" t="s">
        <v>441</v>
      </c>
    </row>
    <row r="77" spans="1:5" ht="12.5">
      <c r="A77" s="7" t="s">
        <v>442</v>
      </c>
    </row>
    <row r="78" spans="1:5" ht="12.5">
      <c r="A78" s="7" t="s">
        <v>443</v>
      </c>
    </row>
    <row r="79" spans="1:5" ht="12.5">
      <c r="A79" s="7" t="s">
        <v>444</v>
      </c>
    </row>
    <row r="80" spans="1:5" ht="12.5">
      <c r="A80" s="7" t="s">
        <v>445</v>
      </c>
      <c r="E80" s="7" t="s">
        <v>308</v>
      </c>
    </row>
    <row r="81" spans="1:1" ht="12.5">
      <c r="A81" s="7" t="s">
        <v>446</v>
      </c>
    </row>
    <row r="82" spans="1:1" ht="12.5">
      <c r="A82" s="7" t="s">
        <v>447</v>
      </c>
    </row>
    <row r="83" spans="1:1" ht="12.5">
      <c r="A83" s="7" t="s">
        <v>448</v>
      </c>
    </row>
    <row r="84" spans="1:1" ht="12.5">
      <c r="A84" s="7" t="s">
        <v>449</v>
      </c>
    </row>
    <row r="85" spans="1:1" ht="12.5">
      <c r="A85" s="7" t="s">
        <v>450</v>
      </c>
    </row>
    <row r="86" spans="1:1" ht="12.5">
      <c r="A86" s="7" t="s">
        <v>451</v>
      </c>
    </row>
    <row r="87" spans="1:1" ht="12.5">
      <c r="A87" s="7" t="s">
        <v>452</v>
      </c>
    </row>
    <row r="88" spans="1:1" ht="12.5">
      <c r="A88" s="7" t="s">
        <v>453</v>
      </c>
    </row>
    <row r="89" spans="1:1" ht="12.5">
      <c r="A89" s="7" t="s">
        <v>454</v>
      </c>
    </row>
    <row r="90" spans="1:1" ht="12.5">
      <c r="A90" s="7" t="s">
        <v>455</v>
      </c>
    </row>
    <row r="91" spans="1:1" ht="12.5">
      <c r="A91" s="7" t="s">
        <v>456</v>
      </c>
    </row>
    <row r="92" spans="1:1" ht="12.5">
      <c r="A92" s="7" t="s">
        <v>457</v>
      </c>
    </row>
    <row r="93" spans="1:1" ht="12.5">
      <c r="A93" s="7" t="s">
        <v>458</v>
      </c>
    </row>
    <row r="94" spans="1:1" ht="12.5">
      <c r="A94" s="7" t="s">
        <v>459</v>
      </c>
    </row>
    <row r="95" spans="1:1" ht="12.5">
      <c r="A95" s="7" t="s">
        <v>460</v>
      </c>
    </row>
    <row r="96" spans="1:1" ht="12.5">
      <c r="A96" s="7" t="s">
        <v>461</v>
      </c>
    </row>
    <row r="97" spans="1:1" ht="12.5">
      <c r="A97" s="7" t="s">
        <v>462</v>
      </c>
    </row>
    <row r="98" spans="1:1" ht="12.5">
      <c r="A98" s="7" t="s">
        <v>463</v>
      </c>
    </row>
    <row r="99" spans="1:1" ht="12.5">
      <c r="A99" s="7" t="s">
        <v>464</v>
      </c>
    </row>
    <row r="100" spans="1:1" ht="12.5">
      <c r="A100" s="7" t="s">
        <v>465</v>
      </c>
    </row>
    <row r="101" spans="1:1" ht="12.5">
      <c r="A101" s="7" t="s">
        <v>466</v>
      </c>
    </row>
    <row r="102" spans="1:1" ht="12.5">
      <c r="A102" s="7" t="s">
        <v>467</v>
      </c>
    </row>
  </sheetData>
  <phoneticPr fontId="1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81"/>
  <sheetViews>
    <sheetView workbookViewId="0"/>
  </sheetViews>
  <sheetFormatPr defaultColWidth="12.6328125" defaultRowHeight="15.75" customHeight="1"/>
  <cols>
    <col min="1" max="1" width="70" customWidth="1"/>
    <col min="4" max="4" width="9.26953125" customWidth="1"/>
  </cols>
  <sheetData>
    <row r="1" spans="1:5" ht="15.75" customHeight="1">
      <c r="A1" s="7" t="s">
        <v>244</v>
      </c>
      <c r="B1" s="7" t="s">
        <v>5</v>
      </c>
      <c r="C1" s="7" t="s">
        <v>245</v>
      </c>
      <c r="D1" s="7" t="s">
        <v>7</v>
      </c>
      <c r="E1" s="7" t="s">
        <v>8</v>
      </c>
    </row>
    <row r="2" spans="1:5" ht="15.75" customHeight="1">
      <c r="A2" s="6" t="s">
        <v>246</v>
      </c>
    </row>
    <row r="3" spans="1:5" ht="15.75" customHeight="1">
      <c r="A3" s="7" t="s">
        <v>468</v>
      </c>
      <c r="C3" s="7" t="s">
        <v>52</v>
      </c>
      <c r="D3" s="7">
        <v>1986</v>
      </c>
    </row>
    <row r="4" spans="1:5" ht="15.75" customHeight="1">
      <c r="A4" s="7" t="s">
        <v>469</v>
      </c>
      <c r="C4" s="7" t="s">
        <v>52</v>
      </c>
      <c r="D4" s="7">
        <v>1986</v>
      </c>
    </row>
    <row r="5" spans="1:5" ht="15.75" customHeight="1">
      <c r="A5" s="7" t="s">
        <v>470</v>
      </c>
      <c r="C5" s="7" t="s">
        <v>52</v>
      </c>
      <c r="D5" s="7">
        <v>1986</v>
      </c>
    </row>
    <row r="6" spans="1:5" ht="15.75" customHeight="1">
      <c r="A6" s="7" t="s">
        <v>471</v>
      </c>
      <c r="C6" s="7" t="s">
        <v>52</v>
      </c>
      <c r="D6" s="7">
        <v>1986</v>
      </c>
    </row>
    <row r="7" spans="1:5" ht="15.75" customHeight="1">
      <c r="A7" s="7" t="s">
        <v>472</v>
      </c>
      <c r="C7" s="7" t="s">
        <v>52</v>
      </c>
      <c r="D7" s="7">
        <v>1986</v>
      </c>
    </row>
    <row r="8" spans="1:5" ht="15.75" customHeight="1">
      <c r="A8" s="7" t="s">
        <v>473</v>
      </c>
      <c r="C8" s="7" t="s">
        <v>52</v>
      </c>
      <c r="D8" s="7">
        <v>1986</v>
      </c>
    </row>
    <row r="9" spans="1:5" ht="15.75" customHeight="1">
      <c r="A9" s="7" t="s">
        <v>474</v>
      </c>
      <c r="C9" s="7" t="s">
        <v>52</v>
      </c>
      <c r="D9" s="7">
        <v>1986</v>
      </c>
    </row>
    <row r="10" spans="1:5" ht="15.75" customHeight="1">
      <c r="A10" s="7" t="s">
        <v>475</v>
      </c>
      <c r="C10" s="7" t="s">
        <v>52</v>
      </c>
      <c r="D10" s="7">
        <v>1987</v>
      </c>
    </row>
    <row r="11" spans="1:5" ht="15.75" customHeight="1">
      <c r="A11" s="7" t="s">
        <v>476</v>
      </c>
      <c r="C11" s="7" t="s">
        <v>52</v>
      </c>
      <c r="D11" s="7">
        <v>1987</v>
      </c>
    </row>
    <row r="12" spans="1:5" ht="15.75" customHeight="1">
      <c r="A12" s="7" t="s">
        <v>477</v>
      </c>
      <c r="C12" s="7" t="s">
        <v>52</v>
      </c>
      <c r="D12" s="7">
        <v>1987</v>
      </c>
    </row>
    <row r="13" spans="1:5" ht="15.75" customHeight="1">
      <c r="A13" s="7" t="s">
        <v>478</v>
      </c>
      <c r="C13" s="7" t="s">
        <v>52</v>
      </c>
      <c r="D13" s="7">
        <v>1987</v>
      </c>
    </row>
    <row r="14" spans="1:5" ht="15.75" customHeight="1">
      <c r="A14" s="7" t="s">
        <v>479</v>
      </c>
      <c r="C14" s="7" t="s">
        <v>52</v>
      </c>
      <c r="D14" s="7">
        <v>1987</v>
      </c>
    </row>
    <row r="15" spans="1:5" ht="15.75" customHeight="1">
      <c r="A15" s="7" t="s">
        <v>480</v>
      </c>
      <c r="C15" s="7" t="s">
        <v>52</v>
      </c>
      <c r="D15" s="7">
        <v>1987</v>
      </c>
    </row>
    <row r="16" spans="1:5" ht="15.75" customHeight="1">
      <c r="A16" s="7" t="s">
        <v>481</v>
      </c>
      <c r="C16" s="7" t="s">
        <v>52</v>
      </c>
      <c r="D16" s="7">
        <v>1987</v>
      </c>
    </row>
    <row r="17" spans="1:4" ht="15.75" customHeight="1">
      <c r="A17" s="7" t="s">
        <v>482</v>
      </c>
      <c r="C17" s="7" t="s">
        <v>52</v>
      </c>
      <c r="D17" s="7">
        <v>1987</v>
      </c>
    </row>
    <row r="18" spans="1:4" ht="15.75" customHeight="1">
      <c r="A18" s="7" t="s">
        <v>483</v>
      </c>
      <c r="C18" s="7" t="s">
        <v>52</v>
      </c>
      <c r="D18" s="7">
        <v>1987</v>
      </c>
    </row>
    <row r="19" spans="1:4" ht="15.75" customHeight="1">
      <c r="A19" s="7" t="s">
        <v>484</v>
      </c>
      <c r="C19" s="7" t="s">
        <v>52</v>
      </c>
      <c r="D19" s="7">
        <v>1987</v>
      </c>
    </row>
    <row r="20" spans="1:4" ht="15.75" customHeight="1">
      <c r="A20" s="7" t="s">
        <v>485</v>
      </c>
      <c r="C20" s="7" t="s">
        <v>52</v>
      </c>
      <c r="D20" s="7">
        <v>1987</v>
      </c>
    </row>
    <row r="21" spans="1:4" ht="15.75" customHeight="1">
      <c r="A21" s="7" t="s">
        <v>486</v>
      </c>
      <c r="C21" s="7" t="s">
        <v>52</v>
      </c>
      <c r="D21" s="7">
        <v>1987</v>
      </c>
    </row>
    <row r="22" spans="1:4" ht="12.5">
      <c r="A22" s="7" t="s">
        <v>487</v>
      </c>
      <c r="C22" s="7" t="s">
        <v>52</v>
      </c>
      <c r="D22" s="7">
        <v>1987</v>
      </c>
    </row>
    <row r="23" spans="1:4" ht="12.5">
      <c r="A23" s="7" t="s">
        <v>488</v>
      </c>
      <c r="C23" s="7" t="s">
        <v>52</v>
      </c>
      <c r="D23" s="7">
        <v>1992</v>
      </c>
    </row>
    <row r="24" spans="1:4" ht="12.5">
      <c r="A24" s="7" t="s">
        <v>489</v>
      </c>
      <c r="C24" s="7" t="s">
        <v>52</v>
      </c>
      <c r="D24" s="7">
        <v>1992</v>
      </c>
    </row>
    <row r="25" spans="1:4" ht="12.5">
      <c r="A25" s="7" t="s">
        <v>490</v>
      </c>
      <c r="C25" s="7" t="s">
        <v>52</v>
      </c>
      <c r="D25" s="7">
        <v>1992</v>
      </c>
    </row>
    <row r="26" spans="1:4" ht="12.5">
      <c r="A26" s="7" t="s">
        <v>491</v>
      </c>
      <c r="C26" s="7" t="s">
        <v>52</v>
      </c>
      <c r="D26" s="7">
        <v>1993</v>
      </c>
    </row>
    <row r="27" spans="1:4" ht="12.5">
      <c r="A27" s="7" t="s">
        <v>492</v>
      </c>
      <c r="C27" s="7" t="s">
        <v>52</v>
      </c>
      <c r="D27" s="7">
        <v>1993</v>
      </c>
    </row>
    <row r="28" spans="1:4" ht="12.5">
      <c r="A28" s="7" t="s">
        <v>493</v>
      </c>
      <c r="C28" s="7" t="s">
        <v>52</v>
      </c>
      <c r="D28" s="7">
        <v>1993</v>
      </c>
    </row>
    <row r="29" spans="1:4" ht="12.5">
      <c r="A29" s="7" t="s">
        <v>494</v>
      </c>
      <c r="C29" s="7" t="s">
        <v>52</v>
      </c>
      <c r="D29" s="7">
        <v>1996</v>
      </c>
    </row>
    <row r="30" spans="1:4" ht="12.5">
      <c r="A30" s="7" t="s">
        <v>495</v>
      </c>
      <c r="C30" s="7" t="s">
        <v>52</v>
      </c>
      <c r="D30" s="7">
        <v>1996</v>
      </c>
    </row>
    <row r="31" spans="1:4" ht="12.5">
      <c r="A31" s="7" t="s">
        <v>496</v>
      </c>
      <c r="B31" s="7" t="s">
        <v>497</v>
      </c>
      <c r="C31" s="7" t="s">
        <v>497</v>
      </c>
      <c r="D31" s="7">
        <v>1983</v>
      </c>
    </row>
    <row r="32" spans="1:4" ht="12.5">
      <c r="A32" s="7" t="s">
        <v>498</v>
      </c>
      <c r="B32" s="7" t="s">
        <v>497</v>
      </c>
      <c r="C32" s="7" t="s">
        <v>497</v>
      </c>
      <c r="D32" s="7">
        <v>1983</v>
      </c>
    </row>
    <row r="33" spans="1:5" ht="12.5">
      <c r="A33" s="7" t="s">
        <v>499</v>
      </c>
      <c r="B33" s="7" t="s">
        <v>497</v>
      </c>
      <c r="C33" s="7" t="s">
        <v>497</v>
      </c>
      <c r="D33" s="7">
        <v>1983</v>
      </c>
    </row>
    <row r="34" spans="1:5" ht="12.5">
      <c r="A34" s="7" t="s">
        <v>500</v>
      </c>
      <c r="B34" s="7" t="s">
        <v>497</v>
      </c>
      <c r="C34" s="7" t="s">
        <v>497</v>
      </c>
      <c r="D34" s="7">
        <v>1983</v>
      </c>
    </row>
    <row r="35" spans="1:5" ht="12.5">
      <c r="A35" s="7" t="s">
        <v>501</v>
      </c>
      <c r="B35" s="7" t="s">
        <v>497</v>
      </c>
      <c r="C35" s="7" t="s">
        <v>497</v>
      </c>
      <c r="D35" s="7">
        <v>1983</v>
      </c>
    </row>
    <row r="36" spans="1:5" ht="12.5">
      <c r="A36" s="7" t="s">
        <v>502</v>
      </c>
      <c r="B36" s="7" t="s">
        <v>497</v>
      </c>
      <c r="C36" s="7" t="s">
        <v>497</v>
      </c>
      <c r="D36" s="7">
        <v>1983</v>
      </c>
    </row>
    <row r="37" spans="1:5" ht="12.5">
      <c r="A37" s="7" t="s">
        <v>503</v>
      </c>
      <c r="B37" s="7" t="s">
        <v>497</v>
      </c>
      <c r="C37" s="7" t="s">
        <v>497</v>
      </c>
      <c r="D37" s="7">
        <v>1983</v>
      </c>
    </row>
    <row r="38" spans="1:5" ht="12.5">
      <c r="A38" s="7" t="s">
        <v>504</v>
      </c>
      <c r="B38" s="7" t="s">
        <v>497</v>
      </c>
      <c r="C38" s="7" t="s">
        <v>497</v>
      </c>
      <c r="D38" s="7">
        <v>1983</v>
      </c>
    </row>
    <row r="39" spans="1:5" ht="12.5">
      <c r="A39" s="7" t="s">
        <v>505</v>
      </c>
      <c r="B39" s="7" t="s">
        <v>497</v>
      </c>
      <c r="C39" s="7" t="s">
        <v>497</v>
      </c>
      <c r="D39" s="7">
        <v>1983</v>
      </c>
    </row>
    <row r="40" spans="1:5" ht="12.5">
      <c r="A40" s="7" t="s">
        <v>506</v>
      </c>
      <c r="B40" s="7" t="s">
        <v>497</v>
      </c>
      <c r="C40" s="7" t="s">
        <v>497</v>
      </c>
      <c r="D40" s="7">
        <v>1983</v>
      </c>
    </row>
    <row r="41" spans="1:5" ht="12.5">
      <c r="A41" s="7" t="s">
        <v>507</v>
      </c>
      <c r="B41" s="7" t="s">
        <v>497</v>
      </c>
      <c r="C41" s="7" t="s">
        <v>497</v>
      </c>
      <c r="D41" s="7">
        <v>1983</v>
      </c>
    </row>
    <row r="42" spans="1:5" ht="12.5">
      <c r="A42" s="7" t="s">
        <v>508</v>
      </c>
      <c r="B42" s="17" t="s">
        <v>509</v>
      </c>
      <c r="D42" s="7" t="s">
        <v>510</v>
      </c>
    </row>
    <row r="43" spans="1:5" ht="12.5">
      <c r="A43" s="7" t="s">
        <v>511</v>
      </c>
      <c r="B43" s="17" t="s">
        <v>509</v>
      </c>
      <c r="D43" s="7" t="s">
        <v>512</v>
      </c>
    </row>
    <row r="44" spans="1:5" ht="12.5">
      <c r="A44" s="7" t="s">
        <v>513</v>
      </c>
      <c r="B44" s="17" t="s">
        <v>509</v>
      </c>
      <c r="D44" s="7" t="s">
        <v>512</v>
      </c>
    </row>
    <row r="45" spans="1:5" ht="12.5">
      <c r="A45" s="7" t="s">
        <v>514</v>
      </c>
      <c r="B45" s="17" t="s">
        <v>509</v>
      </c>
      <c r="D45" s="7" t="s">
        <v>512</v>
      </c>
    </row>
    <row r="46" spans="1:5" ht="12.5">
      <c r="A46" s="7" t="s">
        <v>515</v>
      </c>
      <c r="B46" s="17" t="s">
        <v>509</v>
      </c>
      <c r="D46" s="7" t="s">
        <v>512</v>
      </c>
    </row>
    <row r="47" spans="1:5" ht="12.5">
      <c r="A47" s="7" t="s">
        <v>516</v>
      </c>
      <c r="B47" s="17" t="s">
        <v>509</v>
      </c>
      <c r="D47" s="7" t="s">
        <v>512</v>
      </c>
    </row>
    <row r="48" spans="1:5" ht="12.5">
      <c r="A48" s="7" t="s">
        <v>517</v>
      </c>
      <c r="B48" s="17" t="s">
        <v>509</v>
      </c>
      <c r="D48" s="7" t="s">
        <v>510</v>
      </c>
      <c r="E48" s="7" t="s">
        <v>518</v>
      </c>
    </row>
    <row r="49" spans="1:4" ht="12.5">
      <c r="A49" s="7" t="s">
        <v>519</v>
      </c>
      <c r="B49" s="17" t="s">
        <v>520</v>
      </c>
      <c r="D49" s="7" t="s">
        <v>521</v>
      </c>
    </row>
    <row r="50" spans="1:4" ht="12.5">
      <c r="A50" s="7" t="s">
        <v>522</v>
      </c>
      <c r="B50" s="17" t="s">
        <v>523</v>
      </c>
      <c r="D50" s="7" t="s">
        <v>524</v>
      </c>
    </row>
    <row r="51" spans="1:4" ht="12.5">
      <c r="A51" s="7" t="s">
        <v>525</v>
      </c>
      <c r="B51" s="17" t="s">
        <v>526</v>
      </c>
      <c r="D51" s="7" t="s">
        <v>527</v>
      </c>
    </row>
    <row r="52" spans="1:4" ht="12.5">
      <c r="A52" s="7" t="s">
        <v>528</v>
      </c>
      <c r="B52" s="17" t="s">
        <v>509</v>
      </c>
      <c r="D52" s="7" t="s">
        <v>529</v>
      </c>
    </row>
    <row r="53" spans="1:4" ht="12.5">
      <c r="A53" s="7" t="s">
        <v>530</v>
      </c>
      <c r="B53" s="17" t="s">
        <v>523</v>
      </c>
      <c r="D53" s="7" t="s">
        <v>531</v>
      </c>
    </row>
    <row r="55" spans="1:4" ht="12.5">
      <c r="A55" s="6" t="s">
        <v>248</v>
      </c>
    </row>
    <row r="56" spans="1:4" ht="12.5">
      <c r="A56" s="7" t="s">
        <v>532</v>
      </c>
      <c r="B56" s="7" t="s">
        <v>35</v>
      </c>
      <c r="C56" s="7" t="s">
        <v>35</v>
      </c>
      <c r="D56" s="7">
        <v>1994</v>
      </c>
    </row>
    <row r="57" spans="1:4" ht="12.5">
      <c r="A57" s="7" t="s">
        <v>533</v>
      </c>
      <c r="C57" s="7" t="s">
        <v>35</v>
      </c>
      <c r="D57" s="7">
        <v>1996</v>
      </c>
    </row>
    <row r="58" spans="1:4" ht="12.5">
      <c r="A58" s="7" t="s">
        <v>534</v>
      </c>
      <c r="C58" s="7" t="s">
        <v>35</v>
      </c>
      <c r="D58" s="7">
        <v>1994</v>
      </c>
    </row>
    <row r="59" spans="1:4" ht="12.5">
      <c r="A59" s="7" t="s">
        <v>535</v>
      </c>
      <c r="C59" s="7" t="s">
        <v>35</v>
      </c>
      <c r="D59" s="7">
        <v>1990</v>
      </c>
    </row>
    <row r="60" spans="1:4" ht="12.5">
      <c r="A60" s="7" t="s">
        <v>536</v>
      </c>
      <c r="C60" s="7" t="s">
        <v>35</v>
      </c>
      <c r="D60" s="7">
        <v>1992</v>
      </c>
    </row>
    <row r="61" spans="1:4" ht="12.5">
      <c r="A61" s="7" t="s">
        <v>537</v>
      </c>
      <c r="C61" s="7" t="s">
        <v>35</v>
      </c>
      <c r="D61" s="7">
        <v>1990</v>
      </c>
    </row>
    <row r="62" spans="1:4" ht="12.5">
      <c r="A62" s="7" t="s">
        <v>538</v>
      </c>
      <c r="C62" s="7" t="s">
        <v>35</v>
      </c>
      <c r="D62" s="7">
        <v>1992</v>
      </c>
    </row>
    <row r="63" spans="1:4" ht="12.5">
      <c r="A63" s="7" t="s">
        <v>539</v>
      </c>
      <c r="C63" s="7" t="s">
        <v>35</v>
      </c>
      <c r="D63" s="7">
        <v>1994</v>
      </c>
    </row>
    <row r="64" spans="1:4" ht="12.5">
      <c r="A64" s="7" t="s">
        <v>540</v>
      </c>
      <c r="C64" s="7" t="s">
        <v>35</v>
      </c>
      <c r="D64" s="7">
        <v>1991</v>
      </c>
    </row>
    <row r="65" spans="1:4" ht="12.5">
      <c r="A65" s="7" t="s">
        <v>541</v>
      </c>
      <c r="C65" s="7" t="s">
        <v>35</v>
      </c>
      <c r="D65" s="7">
        <v>1990</v>
      </c>
    </row>
    <row r="66" spans="1:4" ht="12.5">
      <c r="A66" s="7" t="s">
        <v>542</v>
      </c>
      <c r="C66" s="7" t="s">
        <v>35</v>
      </c>
      <c r="D66" s="7">
        <v>1993</v>
      </c>
    </row>
    <row r="67" spans="1:4" ht="12.5">
      <c r="A67" s="7" t="s">
        <v>543</v>
      </c>
      <c r="C67" s="7" t="s">
        <v>35</v>
      </c>
      <c r="D67" s="7">
        <v>1991</v>
      </c>
    </row>
    <row r="68" spans="1:4" ht="12.5">
      <c r="A68" s="7" t="s">
        <v>544</v>
      </c>
      <c r="C68" s="7" t="s">
        <v>35</v>
      </c>
      <c r="D68" s="7">
        <v>1993</v>
      </c>
    </row>
    <row r="69" spans="1:4" ht="12.5">
      <c r="A69" s="7" t="s">
        <v>545</v>
      </c>
      <c r="C69" s="7" t="s">
        <v>35</v>
      </c>
      <c r="D69" s="7">
        <v>1992</v>
      </c>
    </row>
    <row r="70" spans="1:4" ht="12.5">
      <c r="A70" s="7" t="s">
        <v>546</v>
      </c>
      <c r="C70" s="7" t="s">
        <v>35</v>
      </c>
      <c r="D70" s="7">
        <v>1993</v>
      </c>
    </row>
    <row r="71" spans="1:4" ht="12.5">
      <c r="A71" s="7" t="s">
        <v>547</v>
      </c>
      <c r="C71" s="7" t="s">
        <v>35</v>
      </c>
      <c r="D71" s="7">
        <v>1992</v>
      </c>
    </row>
    <row r="72" spans="1:4" ht="12.5">
      <c r="A72" s="7" t="s">
        <v>548</v>
      </c>
      <c r="C72" s="7" t="s">
        <v>35</v>
      </c>
      <c r="D72" s="7">
        <v>1991</v>
      </c>
    </row>
    <row r="73" spans="1:4" ht="12.5">
      <c r="A73" s="7" t="s">
        <v>549</v>
      </c>
      <c r="C73" s="7" t="s">
        <v>35</v>
      </c>
      <c r="D73" s="7">
        <v>1991</v>
      </c>
    </row>
    <row r="74" spans="1:4" ht="12.5">
      <c r="A74" s="7" t="s">
        <v>550</v>
      </c>
      <c r="C74" s="7" t="s">
        <v>35</v>
      </c>
      <c r="D74" s="7">
        <v>1992</v>
      </c>
    </row>
    <row r="75" spans="1:4" ht="12.5">
      <c r="A75" s="7" t="s">
        <v>551</v>
      </c>
      <c r="C75" s="7" t="s">
        <v>35</v>
      </c>
      <c r="D75" s="7">
        <v>1990</v>
      </c>
    </row>
    <row r="76" spans="1:4" ht="12.5">
      <c r="A76" s="7" t="s">
        <v>552</v>
      </c>
      <c r="C76" s="7" t="s">
        <v>35</v>
      </c>
      <c r="D76" s="7">
        <v>1993</v>
      </c>
    </row>
    <row r="77" spans="1:4" ht="12.5">
      <c r="A77" s="7" t="s">
        <v>553</v>
      </c>
      <c r="C77" s="7" t="s">
        <v>35</v>
      </c>
      <c r="D77" s="7">
        <v>1991</v>
      </c>
    </row>
    <row r="78" spans="1:4" ht="12.5">
      <c r="A78" s="7" t="s">
        <v>554</v>
      </c>
      <c r="C78" s="7" t="s">
        <v>35</v>
      </c>
      <c r="D78" s="7">
        <v>1991</v>
      </c>
    </row>
    <row r="79" spans="1:4" ht="12.5">
      <c r="A79" s="7" t="s">
        <v>555</v>
      </c>
      <c r="C79" s="7" t="s">
        <v>35</v>
      </c>
      <c r="D79" s="7">
        <v>1992</v>
      </c>
    </row>
    <row r="80" spans="1:4" ht="12.5">
      <c r="A80" s="7" t="s">
        <v>556</v>
      </c>
      <c r="C80" s="7" t="s">
        <v>35</v>
      </c>
      <c r="D80" s="7">
        <v>1993</v>
      </c>
    </row>
    <row r="81" spans="1:4" ht="12.5">
      <c r="A81" s="7" t="s">
        <v>557</v>
      </c>
      <c r="C81" s="7" t="s">
        <v>35</v>
      </c>
      <c r="D81" s="7">
        <v>1993</v>
      </c>
    </row>
  </sheetData>
  <phoneticPr fontId="1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6328125" defaultRowHeight="15.75" customHeight="1"/>
  <sheetData/>
  <phoneticPr fontId="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sheet1</vt:lpstr>
      <vt:lpstr>sheet2</vt:lpstr>
      <vt:lpstr>1-A</vt:lpstr>
      <vt:lpstr>1-C</vt:lpstr>
      <vt:lpstr>1-D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角　桃華</cp:lastModifiedBy>
  <dcterms:created xsi:type="dcterms:W3CDTF">2026-03-09T13:03:45Z</dcterms:created>
  <dcterms:modified xsi:type="dcterms:W3CDTF">2026-03-09T13:03:45Z</dcterms:modified>
</cp:coreProperties>
</file>